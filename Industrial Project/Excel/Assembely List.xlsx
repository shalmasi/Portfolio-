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rdis\Desktop\Number of My Praject\Number of My Praject\SahebEkhtiyari\Excel\"/>
    </mc:Choice>
  </mc:AlternateContent>
  <xr:revisionPtr revIDLastSave="0" documentId="13_ncr:1_{F348B55B-3BF5-4553-A4E7-CCEF7D216E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sembly list 1" sheetId="2" r:id="rId1"/>
  </sheets>
  <definedNames>
    <definedName name="_xlnm.Print_Area" localSheetId="0">'Assembly list 1'!$A$1:$H$108</definedName>
  </definedNames>
  <calcPr calcId="191029"/>
</workbook>
</file>

<file path=xl/calcChain.xml><?xml version="1.0" encoding="utf-8"?>
<calcChain xmlns="http://schemas.openxmlformats.org/spreadsheetml/2006/main">
  <c r="AF25" i="2" l="1"/>
  <c r="K4" i="2"/>
  <c r="M3" i="2"/>
  <c r="Y10" i="2"/>
  <c r="Y13" i="2" s="1"/>
  <c r="X7" i="2"/>
  <c r="X5" i="2"/>
  <c r="W9" i="2"/>
  <c r="Q11" i="2"/>
  <c r="P15" i="2"/>
  <c r="P16" i="2" s="1"/>
  <c r="P9" i="2"/>
  <c r="N5" i="2"/>
  <c r="AF23" i="2"/>
  <c r="AF21" i="2"/>
  <c r="AF24" i="2"/>
  <c r="X18" i="2"/>
  <c r="X6" i="2"/>
  <c r="Q12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O5" i="2"/>
  <c r="AF22" i="2"/>
  <c r="G40" i="2" l="1"/>
  <c r="F40" i="2"/>
  <c r="G8" i="2"/>
  <c r="G7" i="2"/>
  <c r="G6" i="2"/>
  <c r="A46" i="2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12" i="2"/>
  <c r="H13" i="2"/>
  <c r="H14" i="2"/>
  <c r="H15" i="2"/>
  <c r="H16" i="2"/>
  <c r="H17" i="2"/>
  <c r="H18" i="2"/>
  <c r="H19" i="2"/>
  <c r="H20" i="2"/>
  <c r="H21" i="2"/>
  <c r="H22" i="2"/>
  <c r="H11" i="2"/>
  <c r="H3" i="2"/>
  <c r="H4" i="2"/>
  <c r="H5" i="2"/>
  <c r="H26" i="2" l="1"/>
  <c r="H10" i="2"/>
  <c r="H108" i="2" s="1"/>
  <c r="H45" i="2"/>
  <c r="H44" i="2"/>
  <c r="H6" i="2"/>
  <c r="H42" i="2" l="1"/>
  <c r="H43" i="2"/>
  <c r="H41" i="2"/>
  <c r="H23" i="2" l="1"/>
  <c r="H24" i="2"/>
  <c r="H25" i="2"/>
  <c r="H7" i="2"/>
  <c r="H8" i="2"/>
  <c r="H9" i="2"/>
  <c r="H40" i="2"/>
  <c r="X8" i="2" l="1"/>
  <c r="Z16" i="2" l="1"/>
  <c r="AF16" i="2" s="1"/>
  <c r="Z15" i="2"/>
  <c r="AF15" i="2" s="1"/>
  <c r="Z3" i="2"/>
  <c r="AF3" i="2" s="1"/>
  <c r="Z18" i="2" l="1"/>
  <c r="AF18" i="2" s="1"/>
  <c r="Z9" i="2" l="1"/>
  <c r="AF9" i="2" s="1"/>
  <c r="Z11" i="2"/>
  <c r="AF11" i="2" s="1"/>
  <c r="X20" i="2" l="1"/>
  <c r="Z17" i="2"/>
  <c r="AF17" i="2" s="1"/>
  <c r="Y14" i="2"/>
  <c r="W10" i="2"/>
  <c r="P10" i="2"/>
  <c r="Z8" i="2"/>
  <c r="AF8" i="2" s="1"/>
  <c r="O6" i="2"/>
  <c r="N6" i="2"/>
  <c r="AC4" i="2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Z14" i="2" l="1"/>
  <c r="AF14" i="2" s="1"/>
  <c r="Z20" i="2"/>
  <c r="AF20" i="2" s="1"/>
  <c r="Z10" i="2"/>
  <c r="AF10" i="2" s="1"/>
  <c r="M4" i="2"/>
  <c r="Z7" i="2"/>
  <c r="AF7" i="2" s="1"/>
  <c r="Z6" i="2"/>
  <c r="AF6" i="2" s="1"/>
  <c r="Z5" i="2"/>
  <c r="AF5" i="2" s="1"/>
  <c r="Z12" i="2"/>
  <c r="AF12" i="2" s="1"/>
  <c r="X19" i="2"/>
  <c r="Z19" i="2" l="1"/>
  <c r="AF19" i="2" s="1"/>
  <c r="Z13" i="2"/>
  <c r="AF13" i="2" s="1"/>
  <c r="Z4" i="2"/>
  <c r="AF4" i="2" s="1"/>
</calcChain>
</file>

<file path=xl/sharedStrings.xml><?xml version="1.0" encoding="utf-8"?>
<sst xmlns="http://schemas.openxmlformats.org/spreadsheetml/2006/main" count="309" uniqueCount="244">
  <si>
    <t xml:space="preserve">POS       </t>
  </si>
  <si>
    <t xml:space="preserve">MAIN PART NAME     </t>
  </si>
  <si>
    <t xml:space="preserve"> NUM </t>
  </si>
  <si>
    <t>LENGTH [mm]</t>
  </si>
  <si>
    <t>MAIN PART PROFILE</t>
  </si>
  <si>
    <t>NO</t>
  </si>
  <si>
    <t>WEIGHT [kg]</t>
  </si>
  <si>
    <t>WEIGHT SUM</t>
  </si>
  <si>
    <t>-</t>
  </si>
  <si>
    <t>نوع</t>
  </si>
  <si>
    <t>بادبند سقفی</t>
  </si>
  <si>
    <t>بادبند دیواری</t>
  </si>
  <si>
    <t>والپست</t>
  </si>
  <si>
    <t>اصلی</t>
  </si>
  <si>
    <t>تاج</t>
  </si>
  <si>
    <t>کنسول</t>
  </si>
  <si>
    <t>استرات</t>
  </si>
  <si>
    <t>زد</t>
  </si>
  <si>
    <t>سینه بند</t>
  </si>
  <si>
    <t>میل مهار</t>
  </si>
  <si>
    <t>مجموع</t>
  </si>
  <si>
    <t>ردیف</t>
  </si>
  <si>
    <t>تعداد</t>
  </si>
  <si>
    <t>جنس</t>
  </si>
  <si>
    <t>پیچ 12</t>
  </si>
  <si>
    <t xml:space="preserve">آهن </t>
  </si>
  <si>
    <t xml:space="preserve">مهره 12  </t>
  </si>
  <si>
    <t>پیچ 14</t>
  </si>
  <si>
    <t>مهره 14</t>
  </si>
  <si>
    <t>پیچ  16</t>
  </si>
  <si>
    <t>مهره 16</t>
  </si>
  <si>
    <t>پیچ 18</t>
  </si>
  <si>
    <t>خشکه</t>
  </si>
  <si>
    <t xml:space="preserve">مهره 18 </t>
  </si>
  <si>
    <t>پیچ 20</t>
  </si>
  <si>
    <t>مهره 20</t>
  </si>
  <si>
    <t>واشر 20</t>
  </si>
  <si>
    <t>لقمه 20</t>
  </si>
  <si>
    <t>پیچ 25</t>
  </si>
  <si>
    <t>مهره 25</t>
  </si>
  <si>
    <t>واشر 27</t>
  </si>
  <si>
    <t>لقمه 27</t>
  </si>
  <si>
    <t>میل مهار 12</t>
  </si>
  <si>
    <t>رزوه ی 18</t>
  </si>
  <si>
    <t>رزوه ی 25</t>
  </si>
  <si>
    <r>
      <t xml:space="preserve">طول </t>
    </r>
    <r>
      <rPr>
        <b/>
        <sz val="11"/>
        <color theme="1"/>
        <rFont val="Calibri Light"/>
        <family val="2"/>
        <scheme val="major"/>
      </rPr>
      <t>(mm)</t>
    </r>
  </si>
  <si>
    <t>پل 1</t>
  </si>
  <si>
    <t>تیرریزی 1</t>
  </si>
  <si>
    <t>تیرریزی 2</t>
  </si>
  <si>
    <t>ستون</t>
  </si>
  <si>
    <t>رفتر</t>
  </si>
  <si>
    <t>بادیند سقفی</t>
  </si>
  <si>
    <t>WP/1</t>
  </si>
  <si>
    <t>پرلین</t>
  </si>
  <si>
    <t>D18</t>
  </si>
  <si>
    <t>R/1</t>
  </si>
  <si>
    <t>R/2</t>
  </si>
  <si>
    <t>P90*3</t>
  </si>
  <si>
    <t>مهاربند ناودانی</t>
  </si>
  <si>
    <t>Br/1</t>
  </si>
  <si>
    <t>Br/2</t>
  </si>
  <si>
    <t>Br/3</t>
  </si>
  <si>
    <t>خرپا</t>
  </si>
  <si>
    <t>بچه سوله</t>
  </si>
  <si>
    <t>Ca/1</t>
  </si>
  <si>
    <t>PL6*250</t>
  </si>
  <si>
    <t>Pr/1</t>
  </si>
  <si>
    <t>Z180-2.5</t>
  </si>
  <si>
    <t>Pr/2</t>
  </si>
  <si>
    <t>Pr/3</t>
  </si>
  <si>
    <t>Pr/4</t>
  </si>
  <si>
    <t>Pr/5</t>
  </si>
  <si>
    <t>ok</t>
  </si>
  <si>
    <t>UNP80</t>
  </si>
  <si>
    <t>PL8*612</t>
  </si>
  <si>
    <t>PL8*650</t>
  </si>
  <si>
    <t>R/3</t>
  </si>
  <si>
    <t>R/4</t>
  </si>
  <si>
    <t>R/5</t>
  </si>
  <si>
    <t>R/6</t>
  </si>
  <si>
    <t>R/7</t>
  </si>
  <si>
    <t>PL8*648</t>
  </si>
  <si>
    <t>R/8</t>
  </si>
  <si>
    <t>R/9</t>
  </si>
  <si>
    <t>R/10</t>
  </si>
  <si>
    <t>PL8*649</t>
  </si>
  <si>
    <t>R/11</t>
  </si>
  <si>
    <t>R/12</t>
  </si>
  <si>
    <t>R/13</t>
  </si>
  <si>
    <t>RB/1</t>
  </si>
  <si>
    <t>RB/2</t>
  </si>
  <si>
    <t>ST/1</t>
  </si>
  <si>
    <t>ST/2</t>
  </si>
  <si>
    <t>ST/3</t>
  </si>
  <si>
    <t>ST/4</t>
  </si>
  <si>
    <t>ST/6</t>
  </si>
  <si>
    <t>ST/7</t>
  </si>
  <si>
    <t>ST/8</t>
  </si>
  <si>
    <t>ST/9</t>
  </si>
  <si>
    <t>ST/10</t>
  </si>
  <si>
    <t>ST/11</t>
  </si>
  <si>
    <t>ST/12</t>
  </si>
  <si>
    <t>ST/13</t>
  </si>
  <si>
    <t>ST/14</t>
  </si>
  <si>
    <t>ST/15</t>
  </si>
  <si>
    <t>ST/16</t>
  </si>
  <si>
    <t>PL6*200</t>
  </si>
  <si>
    <t>Pr/6</t>
  </si>
  <si>
    <t>Pr/7</t>
  </si>
  <si>
    <t>Pr/8</t>
  </si>
  <si>
    <t>Pr/9</t>
  </si>
  <si>
    <t>Pr/10</t>
  </si>
  <si>
    <t>Pr/11</t>
  </si>
  <si>
    <t>Pr/12</t>
  </si>
  <si>
    <t>Pr/13</t>
  </si>
  <si>
    <t>Pr/14</t>
  </si>
  <si>
    <t>Pr/15</t>
  </si>
  <si>
    <t>Pr/16</t>
  </si>
  <si>
    <t>Pr/17</t>
  </si>
  <si>
    <t>Pr/18</t>
  </si>
  <si>
    <t>Pr/19</t>
  </si>
  <si>
    <t>Pr/20</t>
  </si>
  <si>
    <t>Pr/21</t>
  </si>
  <si>
    <t>Pr/22</t>
  </si>
  <si>
    <t>Pr/23</t>
  </si>
  <si>
    <t>Pr/24</t>
  </si>
  <si>
    <t>Pr/25</t>
  </si>
  <si>
    <t>Pr/26</t>
  </si>
  <si>
    <t>Pr/27</t>
  </si>
  <si>
    <t>Pr/28</t>
  </si>
  <si>
    <t>Pr/29</t>
  </si>
  <si>
    <t>Pr/30</t>
  </si>
  <si>
    <t>Pr/31</t>
  </si>
  <si>
    <t>Pr/32</t>
  </si>
  <si>
    <t>Pr/33</t>
  </si>
  <si>
    <t>Pr/34</t>
  </si>
  <si>
    <t>Pr/35</t>
  </si>
  <si>
    <t>Pr/36</t>
  </si>
  <si>
    <t>Pr/37</t>
  </si>
  <si>
    <t>Pr/38</t>
  </si>
  <si>
    <t>Pr/39</t>
  </si>
  <si>
    <t>Pr/40</t>
  </si>
  <si>
    <t>Pr/41</t>
  </si>
  <si>
    <t>Pr/42</t>
  </si>
  <si>
    <t>Pr/43</t>
  </si>
  <si>
    <t>Pr/44</t>
  </si>
  <si>
    <t>Pr/45</t>
  </si>
  <si>
    <t>Pr/46</t>
  </si>
  <si>
    <t>Pr/47</t>
  </si>
  <si>
    <t>Pr/48</t>
  </si>
  <si>
    <t>Pr/49</t>
  </si>
  <si>
    <t>Pr/50</t>
  </si>
  <si>
    <t>Pr/51</t>
  </si>
  <si>
    <t>Pr/52</t>
  </si>
  <si>
    <t>Pr/53</t>
  </si>
  <si>
    <t>Pr/54</t>
  </si>
  <si>
    <t>Pr/55</t>
  </si>
  <si>
    <t>Pr/56</t>
  </si>
  <si>
    <t>Pr/57</t>
  </si>
  <si>
    <t>Pr/58</t>
  </si>
  <si>
    <t>Pr/59</t>
  </si>
  <si>
    <t>Pr/60</t>
  </si>
  <si>
    <t>Pr/61</t>
  </si>
  <si>
    <t>Pr/62</t>
  </si>
  <si>
    <t>Pr/63</t>
  </si>
  <si>
    <t>Pr/64</t>
  </si>
  <si>
    <t>Pr/65</t>
  </si>
  <si>
    <t>Pr/66</t>
  </si>
  <si>
    <t>Pr/67</t>
  </si>
  <si>
    <t>Z180-2.6</t>
  </si>
  <si>
    <t>Z180-2.7</t>
  </si>
  <si>
    <t>Z180-2.8</t>
  </si>
  <si>
    <t>Z180-2.9</t>
  </si>
  <si>
    <t>Z180-2.10</t>
  </si>
  <si>
    <t>Z180-2.11</t>
  </si>
  <si>
    <t>Z180-2.12</t>
  </si>
  <si>
    <t>Z180-2.13</t>
  </si>
  <si>
    <t>Z180-2.14</t>
  </si>
  <si>
    <t>Z180-2.15</t>
  </si>
  <si>
    <t>Z180-2.16</t>
  </si>
  <si>
    <t>Z180-2.17</t>
  </si>
  <si>
    <t>Z180-2.18</t>
  </si>
  <si>
    <t>Z180-2.19</t>
  </si>
  <si>
    <t>Z180-2.20</t>
  </si>
  <si>
    <t>Z180-2.21</t>
  </si>
  <si>
    <t>Z180-2.22</t>
  </si>
  <si>
    <t>Z180-2.23</t>
  </si>
  <si>
    <t>Z180-2.24</t>
  </si>
  <si>
    <t>Z180-2.25</t>
  </si>
  <si>
    <t>Z180-2.26</t>
  </si>
  <si>
    <t>Z180-2.27</t>
  </si>
  <si>
    <t>Z180-2.28</t>
  </si>
  <si>
    <t>Z180-2.29</t>
  </si>
  <si>
    <t>Z180-2.30</t>
  </si>
  <si>
    <t>Z180-2.31</t>
  </si>
  <si>
    <t>Z180-2.32</t>
  </si>
  <si>
    <t>Z180-2.33</t>
  </si>
  <si>
    <t>Z180-2.34</t>
  </si>
  <si>
    <t>Z180-2.35</t>
  </si>
  <si>
    <t>Z180-2.36</t>
  </si>
  <si>
    <t>Z180-2.37</t>
  </si>
  <si>
    <t>Z180-2.38</t>
  </si>
  <si>
    <t>Z180-2.39</t>
  </si>
  <si>
    <t>Z180-2.40</t>
  </si>
  <si>
    <t>Z180-2.41</t>
  </si>
  <si>
    <t>Z180-2.42</t>
  </si>
  <si>
    <t>Z180-2.43</t>
  </si>
  <si>
    <t>Z180-2.44</t>
  </si>
  <si>
    <t>Z180-2.45</t>
  </si>
  <si>
    <t>Z180-2.46</t>
  </si>
  <si>
    <t>Z180-2.47</t>
  </si>
  <si>
    <t>Z180-2.48</t>
  </si>
  <si>
    <t>Z180-2.49</t>
  </si>
  <si>
    <t>Z180-2.50</t>
  </si>
  <si>
    <t>Z180-2.51</t>
  </si>
  <si>
    <t>Z180-2.52</t>
  </si>
  <si>
    <t>Z180-2.53</t>
  </si>
  <si>
    <t>Z180-2.54</t>
  </si>
  <si>
    <t>Z180-2.55</t>
  </si>
  <si>
    <t>Z180-2.56</t>
  </si>
  <si>
    <t>Z180-2.57</t>
  </si>
  <si>
    <t>Z180-2.58</t>
  </si>
  <si>
    <t>Z180-2.59</t>
  </si>
  <si>
    <t>Z180-2.60</t>
  </si>
  <si>
    <t>Z180-2.61</t>
  </si>
  <si>
    <t>Z180-2.62</t>
  </si>
  <si>
    <t>Z180-2.63</t>
  </si>
  <si>
    <t>Z180-2.64</t>
  </si>
  <si>
    <t>Z180-2.65</t>
  </si>
  <si>
    <t>Z180-2.66</t>
  </si>
  <si>
    <t>Z180-2.67</t>
  </si>
  <si>
    <t>Z180-2.68</t>
  </si>
  <si>
    <t>Z180-2.69</t>
  </si>
  <si>
    <t>Z180-2.70</t>
  </si>
  <si>
    <t>Z180-2.71</t>
  </si>
  <si>
    <t>C/1 (A1,A10)</t>
  </si>
  <si>
    <t>C/2 (A2,A11)</t>
  </si>
  <si>
    <t>C/3 (A3~A9)</t>
  </si>
  <si>
    <t xml:space="preserve"> پیچ 24</t>
  </si>
  <si>
    <t>مهر24</t>
  </si>
  <si>
    <t>Final  07.08</t>
  </si>
  <si>
    <t>واشر دور دار 20</t>
  </si>
  <si>
    <t xml:space="preserve"> پکینگ لیست پروژه </t>
  </si>
  <si>
    <t>لیست خرید پیچ و مهره پروژه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</si>
</sst>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 Light"/>
      <family val="2"/>
      <scheme val="major"/>
    </font>
    <font>
      <b/>
      <i/>
      <sz val="8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i/>
      <sz val="11"/>
      <color rgb="FF960000"/>
      <name val="Calibri Light"/>
      <family val="2"/>
      <scheme val="major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sz val="10"/>
      <color theme="1"/>
      <name val="B Nazanin"/>
      <charset val="178"/>
    </font>
    <font>
      <b/>
      <sz val="11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i/>
      <sz val="12"/>
      <color rgb="FFFF0000"/>
      <name val="Calibri Light"/>
      <family val="2"/>
      <scheme val="major"/>
    </font>
    <font>
      <b/>
      <i/>
      <sz val="12"/>
      <color theme="1"/>
      <name val="Calibri Light"/>
      <family val="2"/>
      <scheme val="major"/>
    </font>
    <font>
      <b/>
      <sz val="16"/>
      <color theme="1"/>
      <name val="B Bardiya"/>
      <charset val="178"/>
    </font>
    <font>
      <sz val="12"/>
      <color theme="1"/>
      <name val="Calibri Light"/>
      <family val="2"/>
      <scheme val="major"/>
    </font>
    <font>
      <b/>
      <sz val="14"/>
      <color theme="1"/>
      <name val="B Bardiya"/>
      <charset val="17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19" fillId="33" borderId="11" xfId="0" applyNumberFormat="1" applyFont="1" applyFill="1" applyBorder="1" applyAlignment="1">
      <alignment horizontal="center" vertical="center" wrapText="1" shrinkToFit="1"/>
    </xf>
    <xf numFmtId="0" fontId="18" fillId="33" borderId="0" xfId="0" applyFont="1" applyFill="1" applyAlignment="1">
      <alignment horizontal="center" vertical="center"/>
    </xf>
    <xf numFmtId="1" fontId="18" fillId="33" borderId="13" xfId="0" applyNumberFormat="1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2" fillId="0" borderId="0" xfId="42" applyFont="1"/>
    <xf numFmtId="0" fontId="1" fillId="0" borderId="0" xfId="42"/>
    <xf numFmtId="0" fontId="22" fillId="34" borderId="0" xfId="42" applyFont="1" applyFill="1"/>
    <xf numFmtId="0" fontId="23" fillId="33" borderId="23" xfId="42" applyFont="1" applyFill="1" applyBorder="1" applyAlignment="1">
      <alignment horizontal="center" vertical="center"/>
    </xf>
    <xf numFmtId="0" fontId="23" fillId="33" borderId="25" xfId="42" applyFont="1" applyFill="1" applyBorder="1" applyAlignment="1">
      <alignment horizontal="center" vertical="center"/>
    </xf>
    <xf numFmtId="0" fontId="23" fillId="33" borderId="28" xfId="42" applyFont="1" applyFill="1" applyBorder="1" applyAlignment="1">
      <alignment horizontal="center" vertical="center"/>
    </xf>
    <xf numFmtId="0" fontId="23" fillId="33" borderId="24" xfId="42" applyFont="1" applyFill="1" applyBorder="1" applyAlignment="1">
      <alignment horizontal="center" vertical="center"/>
    </xf>
    <xf numFmtId="0" fontId="23" fillId="33" borderId="29" xfId="42" applyFont="1" applyFill="1" applyBorder="1" applyAlignment="1">
      <alignment horizontal="center" vertical="center"/>
    </xf>
    <xf numFmtId="0" fontId="28" fillId="33" borderId="15" xfId="42" applyFont="1" applyFill="1" applyBorder="1" applyAlignment="1">
      <alignment horizontal="center" vertical="center"/>
    </xf>
    <xf numFmtId="0" fontId="28" fillId="33" borderId="17" xfId="42" applyFont="1" applyFill="1" applyBorder="1" applyAlignment="1">
      <alignment horizontal="center" vertical="center"/>
    </xf>
    <xf numFmtId="0" fontId="28" fillId="33" borderId="27" xfId="42" applyFont="1" applyFill="1" applyBorder="1" applyAlignment="1">
      <alignment horizontal="center" vertical="center"/>
    </xf>
    <xf numFmtId="0" fontId="28" fillId="33" borderId="19" xfId="42" applyFont="1" applyFill="1" applyBorder="1" applyAlignment="1">
      <alignment horizontal="center" vertical="center"/>
    </xf>
    <xf numFmtId="0" fontId="28" fillId="33" borderId="30" xfId="42" applyFont="1" applyFill="1" applyBorder="1" applyAlignment="1">
      <alignment horizontal="center" vertical="center"/>
    </xf>
    <xf numFmtId="0" fontId="22" fillId="0" borderId="23" xfId="42" applyFont="1" applyBorder="1" applyAlignment="1">
      <alignment horizontal="center" vertical="center"/>
    </xf>
    <xf numFmtId="0" fontId="22" fillId="0" borderId="25" xfId="42" applyFont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6" fillId="35" borderId="20" xfId="42" applyFont="1" applyFill="1" applyBorder="1" applyAlignment="1">
      <alignment horizontal="center" vertical="center" wrapText="1"/>
    </xf>
    <xf numFmtId="0" fontId="26" fillId="35" borderId="21" xfId="42" applyFont="1" applyFill="1" applyBorder="1" applyAlignment="1">
      <alignment horizontal="center" vertical="center" wrapText="1"/>
    </xf>
    <xf numFmtId="0" fontId="26" fillId="35" borderId="22" xfId="42" applyFont="1" applyFill="1" applyBorder="1" applyAlignment="1">
      <alignment horizontal="center" vertical="center" wrapText="1"/>
    </xf>
    <xf numFmtId="0" fontId="22" fillId="35" borderId="29" xfId="42" applyFont="1" applyFill="1" applyBorder="1" applyAlignment="1">
      <alignment horizontal="center" vertical="center"/>
    </xf>
    <xf numFmtId="0" fontId="22" fillId="35" borderId="28" xfId="42" applyFont="1" applyFill="1" applyBorder="1" applyAlignment="1">
      <alignment horizontal="center" vertical="center"/>
    </xf>
    <xf numFmtId="0" fontId="22" fillId="35" borderId="23" xfId="42" applyFont="1" applyFill="1" applyBorder="1" applyAlignment="1">
      <alignment horizontal="center" vertical="center"/>
    </xf>
    <xf numFmtId="0" fontId="22" fillId="35" borderId="25" xfId="42" applyFont="1" applyFill="1" applyBorder="1" applyAlignment="1">
      <alignment horizontal="center" vertical="center"/>
    </xf>
    <xf numFmtId="0" fontId="22" fillId="35" borderId="24" xfId="42" applyFont="1" applyFill="1" applyBorder="1" applyAlignment="1">
      <alignment horizontal="center" vertical="center"/>
    </xf>
    <xf numFmtId="0" fontId="26" fillId="35" borderId="33" xfId="42" applyFont="1" applyFill="1" applyBorder="1" applyAlignment="1">
      <alignment horizontal="center" vertical="center" wrapText="1"/>
    </xf>
    <xf numFmtId="0" fontId="26" fillId="35" borderId="31" xfId="42" applyFont="1" applyFill="1" applyBorder="1" applyAlignment="1">
      <alignment horizontal="center" vertical="center" wrapText="1"/>
    </xf>
    <xf numFmtId="0" fontId="22" fillId="0" borderId="0" xfId="42" applyFont="1" applyAlignment="1">
      <alignment vertical="center"/>
    </xf>
    <xf numFmtId="0" fontId="0" fillId="0" borderId="0" xfId="42" applyFont="1"/>
    <xf numFmtId="0" fontId="1" fillId="0" borderId="0" xfId="42" applyAlignment="1">
      <alignment horizontal="center"/>
    </xf>
    <xf numFmtId="0" fontId="20" fillId="0" borderId="0" xfId="42" applyFont="1" applyAlignment="1">
      <alignment horizontal="center" vertical="center"/>
    </xf>
    <xf numFmtId="0" fontId="28" fillId="35" borderId="14" xfId="42" applyFont="1" applyFill="1" applyBorder="1" applyAlignment="1">
      <alignment horizontal="center" vertical="center"/>
    </xf>
    <xf numFmtId="0" fontId="28" fillId="35" borderId="16" xfId="42" applyFont="1" applyFill="1" applyBorder="1" applyAlignment="1">
      <alignment horizontal="center" vertical="center"/>
    </xf>
    <xf numFmtId="0" fontId="28" fillId="35" borderId="10" xfId="42" applyFont="1" applyFill="1" applyBorder="1" applyAlignment="1">
      <alignment horizontal="center" vertical="center"/>
    </xf>
    <xf numFmtId="0" fontId="28" fillId="35" borderId="11" xfId="42" applyFont="1" applyFill="1" applyBorder="1" applyAlignment="1">
      <alignment horizontal="center" vertical="center"/>
    </xf>
    <xf numFmtId="0" fontId="28" fillId="35" borderId="12" xfId="42" applyFont="1" applyFill="1" applyBorder="1" applyAlignment="1">
      <alignment horizontal="center" vertical="center"/>
    </xf>
    <xf numFmtId="0" fontId="29" fillId="35" borderId="14" xfId="42" applyFont="1" applyFill="1" applyBorder="1" applyAlignment="1">
      <alignment horizontal="center" vertical="center"/>
    </xf>
    <xf numFmtId="0" fontId="29" fillId="35" borderId="10" xfId="42" applyFont="1" applyFill="1" applyBorder="1" applyAlignment="1">
      <alignment horizontal="center" vertical="center"/>
    </xf>
    <xf numFmtId="0" fontId="18" fillId="33" borderId="12" xfId="42" applyFont="1" applyFill="1" applyBorder="1" applyAlignment="1">
      <alignment horizontal="center" vertical="center"/>
    </xf>
    <xf numFmtId="0" fontId="18" fillId="33" borderId="30" xfId="42" applyFont="1" applyFill="1" applyBorder="1" applyAlignment="1">
      <alignment horizontal="center" vertical="center"/>
    </xf>
    <xf numFmtId="0" fontId="18" fillId="33" borderId="10" xfId="42" applyFont="1" applyFill="1" applyBorder="1" applyAlignment="1">
      <alignment horizontal="center" vertical="center"/>
    </xf>
    <xf numFmtId="0" fontId="18" fillId="33" borderId="27" xfId="42" applyFont="1" applyFill="1" applyBorder="1" applyAlignment="1">
      <alignment horizontal="center" vertical="center"/>
    </xf>
    <xf numFmtId="0" fontId="18" fillId="33" borderId="14" xfId="42" applyFont="1" applyFill="1" applyBorder="1" applyAlignment="1">
      <alignment horizontal="center" vertical="center"/>
    </xf>
    <xf numFmtId="0" fontId="18" fillId="33" borderId="15" xfId="42" applyFont="1" applyFill="1" applyBorder="1" applyAlignment="1">
      <alignment horizontal="center" vertical="center"/>
    </xf>
    <xf numFmtId="0" fontId="18" fillId="33" borderId="16" xfId="42" applyFont="1" applyFill="1" applyBorder="1" applyAlignment="1">
      <alignment horizontal="center" vertical="center"/>
    </xf>
    <xf numFmtId="0" fontId="18" fillId="33" borderId="17" xfId="42" applyFont="1" applyFill="1" applyBorder="1" applyAlignment="1">
      <alignment horizontal="center" vertical="center"/>
    </xf>
    <xf numFmtId="0" fontId="18" fillId="33" borderId="32" xfId="42" applyFont="1" applyFill="1" applyBorder="1" applyAlignment="1">
      <alignment horizontal="center" vertical="center"/>
    </xf>
    <xf numFmtId="0" fontId="18" fillId="33" borderId="11" xfId="42" applyFont="1" applyFill="1" applyBorder="1" applyAlignment="1">
      <alignment horizontal="center" vertical="center"/>
    </xf>
    <xf numFmtId="0" fontId="18" fillId="33" borderId="19" xfId="42" applyFont="1" applyFill="1" applyBorder="1" applyAlignment="1">
      <alignment horizontal="center" vertical="center"/>
    </xf>
    <xf numFmtId="0" fontId="28" fillId="33" borderId="14" xfId="42" applyFont="1" applyFill="1" applyBorder="1" applyAlignment="1">
      <alignment horizontal="center" vertical="center"/>
    </xf>
    <xf numFmtId="0" fontId="28" fillId="33" borderId="16" xfId="42" applyFont="1" applyFill="1" applyBorder="1" applyAlignment="1">
      <alignment horizontal="center" vertical="center"/>
    </xf>
    <xf numFmtId="0" fontId="28" fillId="33" borderId="10" xfId="42" applyFont="1" applyFill="1" applyBorder="1" applyAlignment="1">
      <alignment horizontal="center" vertical="center"/>
    </xf>
    <xf numFmtId="0" fontId="28" fillId="33" borderId="11" xfId="42" applyFont="1" applyFill="1" applyBorder="1" applyAlignment="1">
      <alignment horizontal="center" vertical="center"/>
    </xf>
    <xf numFmtId="0" fontId="28" fillId="33" borderId="12" xfId="42" applyFont="1" applyFill="1" applyBorder="1" applyAlignment="1">
      <alignment horizontal="center" vertical="center"/>
    </xf>
    <xf numFmtId="0" fontId="29" fillId="33" borderId="14" xfId="42" applyFont="1" applyFill="1" applyBorder="1" applyAlignment="1">
      <alignment horizontal="center" vertical="center"/>
    </xf>
    <xf numFmtId="0" fontId="29" fillId="33" borderId="10" xfId="42" applyFont="1" applyFill="1" applyBorder="1" applyAlignment="1">
      <alignment horizontal="center" vertical="center"/>
    </xf>
    <xf numFmtId="0" fontId="18" fillId="0" borderId="14" xfId="42" applyFont="1" applyBorder="1" applyAlignment="1">
      <alignment horizontal="center" vertical="center"/>
    </xf>
    <xf numFmtId="0" fontId="18" fillId="0" borderId="16" xfId="42" applyFont="1" applyBorder="1" applyAlignment="1">
      <alignment horizontal="center" vertical="center"/>
    </xf>
    <xf numFmtId="0" fontId="24" fillId="33" borderId="34" xfId="42" applyFont="1" applyFill="1" applyBorder="1" applyAlignment="1">
      <alignment horizontal="center" vertical="center"/>
    </xf>
    <xf numFmtId="0" fontId="24" fillId="33" borderId="32" xfId="42" applyFont="1" applyFill="1" applyBorder="1" applyAlignment="1">
      <alignment horizontal="center" vertical="center"/>
    </xf>
    <xf numFmtId="0" fontId="25" fillId="33" borderId="32" xfId="42" applyFont="1" applyFill="1" applyBorder="1" applyAlignment="1">
      <alignment horizontal="center" vertical="center" wrapText="1"/>
    </xf>
    <xf numFmtId="0" fontId="24" fillId="35" borderId="32" xfId="42" applyFont="1" applyFill="1" applyBorder="1" applyAlignment="1">
      <alignment horizontal="center" vertical="center"/>
    </xf>
    <xf numFmtId="0" fontId="24" fillId="33" borderId="18" xfId="42" applyFont="1" applyFill="1" applyBorder="1" applyAlignment="1">
      <alignment horizontal="center" vertical="center"/>
    </xf>
    <xf numFmtId="0" fontId="30" fillId="0" borderId="0" xfId="42" applyFont="1" applyAlignment="1">
      <alignment horizontal="center" vertical="center"/>
    </xf>
    <xf numFmtId="0" fontId="30" fillId="0" borderId="26" xfId="42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" fontId="29" fillId="35" borderId="14" xfId="42" applyNumberFormat="1" applyFont="1" applyFill="1" applyBorder="1" applyAlignment="1">
      <alignment horizontal="center" vertical="center"/>
    </xf>
    <xf numFmtId="1" fontId="29" fillId="35" borderId="16" xfId="42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9" fillId="35" borderId="16" xfId="42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32" fillId="0" borderId="0" xfId="42" applyFont="1" applyAlignment="1">
      <alignment horizontal="center" vertical="center"/>
    </xf>
    <xf numFmtId="0" fontId="31" fillId="36" borderId="11" xfId="0" applyFont="1" applyFill="1" applyBorder="1" applyAlignment="1">
      <alignment horizontal="center" vertical="center"/>
    </xf>
    <xf numFmtId="0" fontId="23" fillId="0" borderId="10" xfId="42" applyFont="1" applyBorder="1" applyAlignment="1">
      <alignment horizontal="center" vertical="center"/>
    </xf>
    <xf numFmtId="0" fontId="33" fillId="36" borderId="35" xfId="42" applyFont="1" applyFill="1" applyBorder="1" applyAlignment="1">
      <alignment horizontal="center" vertical="center"/>
    </xf>
    <xf numFmtId="0" fontId="33" fillId="36" borderId="36" xfId="42" applyFont="1" applyFill="1" applyBorder="1" applyAlignment="1">
      <alignment horizontal="center" vertical="center"/>
    </xf>
    <xf numFmtId="0" fontId="33" fillId="36" borderId="37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CC00"/>
      <color rgb="FFE676C1"/>
      <color rgb="FF9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6"/>
  <sheetViews>
    <sheetView rightToLeft="1" tabSelected="1" zoomScaleNormal="100" zoomScaleSheetLayoutView="70" workbookViewId="0">
      <selection sqref="A1:H1"/>
    </sheetView>
  </sheetViews>
  <sheetFormatPr defaultRowHeight="14.4" x14ac:dyDescent="0.3"/>
  <cols>
    <col min="1" max="1" width="4.88671875" style="4" customWidth="1"/>
    <col min="2" max="2" width="16.109375" style="1" customWidth="1"/>
    <col min="3" max="3" width="15.88671875" style="1" customWidth="1"/>
    <col min="4" max="4" width="14.88671875" style="2" customWidth="1"/>
    <col min="5" max="5" width="7.109375" style="1" customWidth="1"/>
    <col min="6" max="6" width="13.5546875" style="1" customWidth="1"/>
    <col min="7" max="7" width="11" style="1" customWidth="1"/>
    <col min="8" max="8" width="13.44140625" style="1" customWidth="1"/>
    <col min="9" max="9" width="7.109375" customWidth="1"/>
    <col min="10" max="26" width="0.21875" style="8" hidden="1" customWidth="1"/>
    <col min="27" max="27" width="9.109375" style="8" hidden="1" customWidth="1"/>
    <col min="28" max="28" width="8.33203125" style="8" customWidth="1"/>
    <col min="29" max="29" width="5.5546875" style="36" customWidth="1"/>
    <col min="30" max="30" width="15.6640625" style="8" customWidth="1"/>
    <col min="31" max="31" width="9.88671875" style="8" customWidth="1"/>
    <col min="32" max="32" width="8.6640625" style="8" customWidth="1"/>
    <col min="33" max="33" width="9.109375" style="8" customWidth="1"/>
  </cols>
  <sheetData>
    <row r="1" spans="1:33" ht="37.5" customHeight="1" thickBot="1" x14ac:dyDescent="0.55000000000000004">
      <c r="A1" s="85" t="s">
        <v>242</v>
      </c>
      <c r="B1" s="85"/>
      <c r="C1" s="85"/>
      <c r="D1" s="85"/>
      <c r="E1" s="85"/>
      <c r="F1" s="85"/>
      <c r="G1" s="85"/>
      <c r="H1" s="85"/>
      <c r="J1" s="7"/>
      <c r="K1" s="7"/>
      <c r="L1" s="7"/>
      <c r="M1" s="7"/>
      <c r="N1" s="7"/>
      <c r="O1" s="34"/>
      <c r="P1" s="86"/>
      <c r="Q1" s="86"/>
      <c r="R1" s="86"/>
      <c r="S1" s="86"/>
      <c r="T1" s="34"/>
      <c r="U1" s="7"/>
      <c r="V1" s="7"/>
      <c r="W1" s="7"/>
      <c r="X1" s="7"/>
      <c r="Y1" s="7"/>
      <c r="Z1" s="7"/>
      <c r="AA1" s="7"/>
      <c r="AC1" s="87" t="s">
        <v>243</v>
      </c>
      <c r="AD1" s="88"/>
      <c r="AE1" s="88"/>
      <c r="AF1" s="88"/>
      <c r="AG1" s="89"/>
    </row>
    <row r="2" spans="1:33" ht="34.5" customHeight="1" thickBot="1" x14ac:dyDescent="0.55000000000000004">
      <c r="A2" s="3" t="s">
        <v>5</v>
      </c>
      <c r="B2" s="6" t="s">
        <v>1</v>
      </c>
      <c r="C2" s="6" t="s">
        <v>0</v>
      </c>
      <c r="D2" s="6" t="s">
        <v>4</v>
      </c>
      <c r="E2" s="23" t="s">
        <v>2</v>
      </c>
      <c r="F2" s="6" t="s">
        <v>3</v>
      </c>
      <c r="G2" s="6" t="s">
        <v>6</v>
      </c>
      <c r="H2" s="6" t="s">
        <v>7</v>
      </c>
      <c r="J2" s="24" t="s">
        <v>9</v>
      </c>
      <c r="K2" s="25" t="s">
        <v>19</v>
      </c>
      <c r="L2" s="25" t="s">
        <v>18</v>
      </c>
      <c r="M2" s="25" t="s">
        <v>17</v>
      </c>
      <c r="N2" s="32" t="s">
        <v>16</v>
      </c>
      <c r="O2" s="25" t="s">
        <v>15</v>
      </c>
      <c r="P2" s="25" t="s">
        <v>13</v>
      </c>
      <c r="Q2" s="25" t="s">
        <v>14</v>
      </c>
      <c r="R2" s="25" t="s">
        <v>63</v>
      </c>
      <c r="S2" s="25" t="s">
        <v>62</v>
      </c>
      <c r="T2" s="25" t="s">
        <v>46</v>
      </c>
      <c r="U2" s="33" t="s">
        <v>47</v>
      </c>
      <c r="V2" s="33" t="s">
        <v>48</v>
      </c>
      <c r="W2" s="25" t="s">
        <v>12</v>
      </c>
      <c r="X2" s="25" t="s">
        <v>11</v>
      </c>
      <c r="Y2" s="25" t="s">
        <v>10</v>
      </c>
      <c r="Z2" s="26" t="s">
        <v>20</v>
      </c>
      <c r="AA2" s="7"/>
      <c r="AC2" s="65" t="s">
        <v>21</v>
      </c>
      <c r="AD2" s="66" t="s">
        <v>9</v>
      </c>
      <c r="AE2" s="67" t="s">
        <v>45</v>
      </c>
      <c r="AF2" s="68" t="s">
        <v>22</v>
      </c>
      <c r="AG2" s="69" t="s">
        <v>23</v>
      </c>
    </row>
    <row r="3" spans="1:33" ht="18" customHeight="1" x14ac:dyDescent="0.5">
      <c r="A3" s="5">
        <v>1</v>
      </c>
      <c r="B3" s="80" t="s">
        <v>58</v>
      </c>
      <c r="C3" s="74" t="s">
        <v>59</v>
      </c>
      <c r="D3" s="74" t="s">
        <v>73</v>
      </c>
      <c r="E3" s="22">
        <v>4</v>
      </c>
      <c r="F3" s="72">
        <v>6498</v>
      </c>
      <c r="G3" s="73">
        <v>94.9</v>
      </c>
      <c r="H3" s="72">
        <f t="shared" ref="H3:H6" si="0">G3*E3</f>
        <v>379.6</v>
      </c>
      <c r="J3" s="27" t="s">
        <v>24</v>
      </c>
      <c r="K3" s="45"/>
      <c r="L3" s="45"/>
      <c r="M3" s="45">
        <f>SUM(E41:E107)*4+20*4</f>
        <v>960</v>
      </c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6">
        <f t="shared" ref="Z3:Z20" si="1">SUM(K3:Y3)</f>
        <v>960</v>
      </c>
      <c r="AA3" s="7"/>
      <c r="AC3" s="15">
        <v>1</v>
      </c>
      <c r="AD3" s="56" t="str">
        <f>J3</f>
        <v>پیچ 12</v>
      </c>
      <c r="AE3" s="56">
        <v>30</v>
      </c>
      <c r="AF3" s="38">
        <f>IF(Z3=0,0,Z3+3)</f>
        <v>963</v>
      </c>
      <c r="AG3" s="10" t="s">
        <v>25</v>
      </c>
    </row>
    <row r="4" spans="1:33" ht="18" customHeight="1" thickBot="1" x14ac:dyDescent="0.55000000000000004">
      <c r="A4" s="5">
        <f t="shared" ref="A4:A67" si="2">A3+1</f>
        <v>2</v>
      </c>
      <c r="B4" s="81"/>
      <c r="C4" s="74" t="s">
        <v>60</v>
      </c>
      <c r="D4" s="74" t="s">
        <v>73</v>
      </c>
      <c r="E4" s="22">
        <v>4</v>
      </c>
      <c r="F4" s="72">
        <v>6498</v>
      </c>
      <c r="G4" s="73">
        <v>77.2</v>
      </c>
      <c r="H4" s="72">
        <f t="shared" si="0"/>
        <v>308.8</v>
      </c>
      <c r="J4" s="28" t="s">
        <v>26</v>
      </c>
      <c r="K4" s="47">
        <f>(AF21+AF22)*2</f>
        <v>920</v>
      </c>
      <c r="L4" s="47"/>
      <c r="M4" s="47">
        <f>M3</f>
        <v>960</v>
      </c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>
        <f t="shared" si="1"/>
        <v>1880</v>
      </c>
      <c r="AA4" s="9"/>
      <c r="AC4" s="16">
        <f t="shared" ref="AC4:AC25" si="3">AC3+1</f>
        <v>2</v>
      </c>
      <c r="AD4" s="57" t="str">
        <f t="shared" ref="AD4:AD20" si="4">J4</f>
        <v xml:space="preserve">مهره 12  </v>
      </c>
      <c r="AE4" s="57" t="s">
        <v>8</v>
      </c>
      <c r="AF4" s="39">
        <f t="shared" ref="AF4:AF20" si="5">IF(Z4=0,0,Z4+3)</f>
        <v>1883</v>
      </c>
      <c r="AG4" s="11" t="s">
        <v>25</v>
      </c>
    </row>
    <row r="5" spans="1:33" ht="18" customHeight="1" x14ac:dyDescent="0.5">
      <c r="A5" s="5">
        <f t="shared" si="2"/>
        <v>3</v>
      </c>
      <c r="B5" s="82"/>
      <c r="C5" s="74" t="s">
        <v>61</v>
      </c>
      <c r="D5" s="74" t="s">
        <v>73</v>
      </c>
      <c r="E5" s="22">
        <v>8</v>
      </c>
      <c r="F5" s="72">
        <v>3109</v>
      </c>
      <c r="G5" s="73">
        <v>73.099999999999994</v>
      </c>
      <c r="H5" s="72">
        <f t="shared" si="0"/>
        <v>584.79999999999995</v>
      </c>
      <c r="J5" s="29" t="s">
        <v>27</v>
      </c>
      <c r="K5" s="49"/>
      <c r="L5" s="49"/>
      <c r="M5" s="49"/>
      <c r="N5" s="49">
        <f>SUM(E25:E39)*8</f>
        <v>480</v>
      </c>
      <c r="O5" s="49">
        <f>SUM(E9:E9)*4</f>
        <v>44</v>
      </c>
      <c r="P5" s="49"/>
      <c r="Q5" s="49"/>
      <c r="R5" s="49"/>
      <c r="S5" s="49"/>
      <c r="T5" s="49"/>
      <c r="U5" s="49"/>
      <c r="V5" s="49"/>
      <c r="W5" s="49"/>
      <c r="X5" s="49">
        <f>4*(16)</f>
        <v>64</v>
      </c>
      <c r="Y5" s="49"/>
      <c r="Z5" s="50">
        <f t="shared" si="1"/>
        <v>588</v>
      </c>
      <c r="AA5" s="7"/>
      <c r="AC5" s="15">
        <f t="shared" si="3"/>
        <v>3</v>
      </c>
      <c r="AD5" s="56" t="str">
        <f t="shared" si="4"/>
        <v>پیچ 14</v>
      </c>
      <c r="AE5" s="56">
        <v>50</v>
      </c>
      <c r="AF5" s="38">
        <f t="shared" si="5"/>
        <v>591</v>
      </c>
      <c r="AG5" s="10" t="s">
        <v>25</v>
      </c>
    </row>
    <row r="6" spans="1:33" ht="18" customHeight="1" thickBot="1" x14ac:dyDescent="0.55000000000000004">
      <c r="A6" s="5">
        <f t="shared" si="2"/>
        <v>4</v>
      </c>
      <c r="B6" s="80" t="s">
        <v>49</v>
      </c>
      <c r="C6" s="74" t="s">
        <v>235</v>
      </c>
      <c r="D6" s="74" t="s">
        <v>74</v>
      </c>
      <c r="E6" s="22">
        <v>2</v>
      </c>
      <c r="F6" s="72">
        <v>7551.7</v>
      </c>
      <c r="G6" s="73">
        <f>638.3+20</f>
        <v>658.3</v>
      </c>
      <c r="H6" s="72">
        <f t="shared" si="0"/>
        <v>1316.6</v>
      </c>
      <c r="J6" s="30" t="s">
        <v>28</v>
      </c>
      <c r="K6" s="51"/>
      <c r="L6" s="51"/>
      <c r="M6" s="51"/>
      <c r="N6" s="51">
        <f>N5</f>
        <v>480</v>
      </c>
      <c r="O6" s="51">
        <f>O5</f>
        <v>44</v>
      </c>
      <c r="P6" s="51"/>
      <c r="Q6" s="51"/>
      <c r="R6" s="51"/>
      <c r="S6" s="51"/>
      <c r="T6" s="51"/>
      <c r="U6" s="51"/>
      <c r="V6" s="51"/>
      <c r="W6" s="51"/>
      <c r="X6" s="51">
        <f>X5</f>
        <v>64</v>
      </c>
      <c r="Y6" s="51"/>
      <c r="Z6" s="52">
        <f t="shared" si="1"/>
        <v>588</v>
      </c>
      <c r="AA6" s="9"/>
      <c r="AC6" s="16">
        <f t="shared" si="3"/>
        <v>4</v>
      </c>
      <c r="AD6" s="57" t="str">
        <f t="shared" si="4"/>
        <v>مهره 14</v>
      </c>
      <c r="AE6" s="57" t="s">
        <v>8</v>
      </c>
      <c r="AF6" s="39">
        <f t="shared" si="5"/>
        <v>591</v>
      </c>
      <c r="AG6" s="11" t="s">
        <v>25</v>
      </c>
    </row>
    <row r="7" spans="1:33" ht="18" customHeight="1" x14ac:dyDescent="0.5">
      <c r="A7" s="5">
        <f t="shared" si="2"/>
        <v>5</v>
      </c>
      <c r="B7" s="81"/>
      <c r="C7" s="74" t="s">
        <v>236</v>
      </c>
      <c r="D7" s="74" t="s">
        <v>74</v>
      </c>
      <c r="E7" s="22">
        <v>2</v>
      </c>
      <c r="F7" s="72">
        <v>7551.7</v>
      </c>
      <c r="G7" s="73">
        <f>638.3+20</f>
        <v>658.3</v>
      </c>
      <c r="H7" s="72">
        <f t="shared" ref="H7:H41" si="6">G7*E7</f>
        <v>1316.6</v>
      </c>
      <c r="J7" s="27" t="s">
        <v>29</v>
      </c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>
        <f>4*(3*12)</f>
        <v>144</v>
      </c>
      <c r="Y7" s="45"/>
      <c r="Z7" s="46">
        <f t="shared" si="1"/>
        <v>144</v>
      </c>
      <c r="AA7" s="7"/>
      <c r="AC7" s="15">
        <f t="shared" si="3"/>
        <v>5</v>
      </c>
      <c r="AD7" s="56" t="str">
        <f t="shared" si="4"/>
        <v>پیچ  16</v>
      </c>
      <c r="AE7" s="56">
        <v>60</v>
      </c>
      <c r="AF7" s="38">
        <f t="shared" si="5"/>
        <v>147</v>
      </c>
      <c r="AG7" s="10" t="s">
        <v>25</v>
      </c>
    </row>
    <row r="8" spans="1:33" ht="18" customHeight="1" thickBot="1" x14ac:dyDescent="0.55000000000000004">
      <c r="A8" s="5">
        <f t="shared" si="2"/>
        <v>6</v>
      </c>
      <c r="B8" s="82"/>
      <c r="C8" s="74" t="s">
        <v>237</v>
      </c>
      <c r="D8" s="74" t="s">
        <v>74</v>
      </c>
      <c r="E8" s="22">
        <v>7</v>
      </c>
      <c r="F8" s="72">
        <v>7551.7</v>
      </c>
      <c r="G8" s="73">
        <f>592.1+20</f>
        <v>612.1</v>
      </c>
      <c r="H8" s="72">
        <f t="shared" si="6"/>
        <v>4284.7</v>
      </c>
      <c r="J8" s="30" t="s">
        <v>30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>
        <f>X7</f>
        <v>144</v>
      </c>
      <c r="Y8" s="51"/>
      <c r="Z8" s="48">
        <f t="shared" si="1"/>
        <v>144</v>
      </c>
      <c r="AA8" s="7"/>
      <c r="AC8" s="16">
        <f t="shared" si="3"/>
        <v>6</v>
      </c>
      <c r="AD8" s="57" t="str">
        <f t="shared" si="4"/>
        <v>مهره 16</v>
      </c>
      <c r="AE8" s="57" t="s">
        <v>8</v>
      </c>
      <c r="AF8" s="39">
        <f t="shared" si="5"/>
        <v>147</v>
      </c>
      <c r="AG8" s="11" t="s">
        <v>25</v>
      </c>
    </row>
    <row r="9" spans="1:33" ht="18" customHeight="1" x14ac:dyDescent="0.5">
      <c r="A9" s="5">
        <f t="shared" si="2"/>
        <v>7</v>
      </c>
      <c r="B9" s="77" t="s">
        <v>15</v>
      </c>
      <c r="C9" s="74" t="s">
        <v>64</v>
      </c>
      <c r="D9" s="74" t="s">
        <v>65</v>
      </c>
      <c r="E9" s="22">
        <v>11</v>
      </c>
      <c r="F9" s="72">
        <v>434</v>
      </c>
      <c r="G9" s="73">
        <v>32.700000000000003</v>
      </c>
      <c r="H9" s="72">
        <f>G9*E9</f>
        <v>359.70000000000005</v>
      </c>
      <c r="J9" s="29" t="s">
        <v>31</v>
      </c>
      <c r="K9" s="49"/>
      <c r="L9" s="49"/>
      <c r="M9" s="49"/>
      <c r="N9" s="49"/>
      <c r="O9" s="49"/>
      <c r="P9" s="49">
        <f>SUM(E12:E22)*12*1</f>
        <v>132</v>
      </c>
      <c r="Q9" s="49"/>
      <c r="R9" s="49"/>
      <c r="S9" s="49"/>
      <c r="T9" s="45"/>
      <c r="U9" s="49"/>
      <c r="V9" s="49"/>
      <c r="W9" s="49">
        <f>SUM(E40:E40)*2</f>
        <v>8</v>
      </c>
      <c r="X9" s="49"/>
      <c r="Y9" s="49"/>
      <c r="Z9" s="50">
        <f t="shared" si="1"/>
        <v>140</v>
      </c>
      <c r="AA9" s="7"/>
      <c r="AC9" s="15">
        <f t="shared" si="3"/>
        <v>7</v>
      </c>
      <c r="AD9" s="56" t="str">
        <f t="shared" si="4"/>
        <v>پیچ 18</v>
      </c>
      <c r="AE9" s="56">
        <v>70</v>
      </c>
      <c r="AF9" s="38">
        <f t="shared" si="5"/>
        <v>143</v>
      </c>
      <c r="AG9" s="10" t="s">
        <v>32</v>
      </c>
    </row>
    <row r="10" spans="1:33" ht="18" customHeight="1" thickBot="1" x14ac:dyDescent="0.55000000000000004">
      <c r="A10" s="5">
        <f t="shared" si="2"/>
        <v>8</v>
      </c>
      <c r="B10" s="80" t="s">
        <v>50</v>
      </c>
      <c r="C10" s="74" t="s">
        <v>55</v>
      </c>
      <c r="D10" s="74" t="s">
        <v>75</v>
      </c>
      <c r="E10" s="22">
        <v>2</v>
      </c>
      <c r="F10" s="72">
        <v>9844</v>
      </c>
      <c r="G10" s="73">
        <v>675.7</v>
      </c>
      <c r="H10" s="72">
        <f t="shared" si="6"/>
        <v>1351.4</v>
      </c>
      <c r="J10" s="28" t="s">
        <v>33</v>
      </c>
      <c r="K10" s="47"/>
      <c r="L10" s="47"/>
      <c r="M10" s="47"/>
      <c r="N10" s="47"/>
      <c r="O10" s="47"/>
      <c r="P10" s="47">
        <f t="shared" ref="P10" si="7">P9</f>
        <v>132</v>
      </c>
      <c r="Q10" s="47"/>
      <c r="R10" s="53"/>
      <c r="S10" s="53"/>
      <c r="T10" s="45"/>
      <c r="U10" s="47"/>
      <c r="V10" s="47"/>
      <c r="W10" s="54">
        <f>W9</f>
        <v>8</v>
      </c>
      <c r="X10" s="47"/>
      <c r="Y10" s="47">
        <f>SUM(E23:E24)*2</f>
        <v>96</v>
      </c>
      <c r="Z10" s="48">
        <f t="shared" si="1"/>
        <v>236</v>
      </c>
      <c r="AA10" s="9"/>
      <c r="AC10" s="17">
        <f>AC9+1</f>
        <v>8</v>
      </c>
      <c r="AD10" s="58" t="str">
        <f t="shared" si="4"/>
        <v xml:space="preserve">مهره 18 </v>
      </c>
      <c r="AE10" s="58" t="s">
        <v>8</v>
      </c>
      <c r="AF10" s="40">
        <f t="shared" si="5"/>
        <v>239</v>
      </c>
      <c r="AG10" s="12" t="s">
        <v>32</v>
      </c>
    </row>
    <row r="11" spans="1:33" ht="18" customHeight="1" x14ac:dyDescent="0.5">
      <c r="A11" s="5">
        <f t="shared" si="2"/>
        <v>9</v>
      </c>
      <c r="B11" s="81"/>
      <c r="C11" s="74" t="s">
        <v>56</v>
      </c>
      <c r="D11" s="74" t="s">
        <v>75</v>
      </c>
      <c r="E11" s="22">
        <v>9</v>
      </c>
      <c r="F11" s="72">
        <v>9844</v>
      </c>
      <c r="G11" s="73">
        <v>670.6</v>
      </c>
      <c r="H11" s="72">
        <f t="shared" si="6"/>
        <v>6035.4000000000005</v>
      </c>
      <c r="J11" s="29" t="s">
        <v>34</v>
      </c>
      <c r="K11" s="49"/>
      <c r="L11" s="49"/>
      <c r="M11" s="49"/>
      <c r="N11" s="49"/>
      <c r="O11" s="49"/>
      <c r="P11" s="49"/>
      <c r="Q11" s="49">
        <f>SUM(E10:E22)*10*0.5</f>
        <v>110</v>
      </c>
      <c r="R11" s="49"/>
      <c r="S11" s="49"/>
      <c r="T11" s="49"/>
      <c r="U11" s="49"/>
      <c r="V11" s="49"/>
      <c r="W11" s="49"/>
      <c r="X11" s="49"/>
      <c r="Y11" s="49"/>
      <c r="Z11" s="50">
        <f t="shared" si="1"/>
        <v>110</v>
      </c>
      <c r="AA11" s="7"/>
      <c r="AC11" s="15">
        <f t="shared" si="3"/>
        <v>9</v>
      </c>
      <c r="AD11" s="56" t="str">
        <f t="shared" si="4"/>
        <v>پیچ 20</v>
      </c>
      <c r="AE11" s="56">
        <v>70</v>
      </c>
      <c r="AF11" s="38">
        <f t="shared" si="5"/>
        <v>113</v>
      </c>
      <c r="AG11" s="10" t="s">
        <v>32</v>
      </c>
    </row>
    <row r="12" spans="1:33" ht="18" customHeight="1" x14ac:dyDescent="0.5">
      <c r="A12" s="5">
        <f t="shared" si="2"/>
        <v>10</v>
      </c>
      <c r="B12" s="81"/>
      <c r="C12" s="74" t="s">
        <v>76</v>
      </c>
      <c r="D12" s="74" t="s">
        <v>75</v>
      </c>
      <c r="E12" s="22">
        <v>1</v>
      </c>
      <c r="F12" s="72">
        <v>9633.7000000000007</v>
      </c>
      <c r="G12" s="73">
        <v>660</v>
      </c>
      <c r="H12" s="72">
        <f t="shared" si="6"/>
        <v>660</v>
      </c>
      <c r="J12" s="31" t="s">
        <v>35</v>
      </c>
      <c r="K12" s="54"/>
      <c r="L12" s="54"/>
      <c r="M12" s="54"/>
      <c r="N12" s="54"/>
      <c r="O12" s="54"/>
      <c r="P12" s="54"/>
      <c r="Q12" s="54">
        <f>Q11</f>
        <v>110</v>
      </c>
      <c r="R12" s="54"/>
      <c r="S12" s="54"/>
      <c r="T12" s="54"/>
      <c r="U12" s="54"/>
      <c r="V12" s="54"/>
      <c r="W12" s="54"/>
      <c r="X12" s="54"/>
      <c r="Y12" s="54"/>
      <c r="Z12" s="55">
        <f t="shared" si="1"/>
        <v>110</v>
      </c>
      <c r="AA12" s="7"/>
      <c r="AC12" s="18">
        <f t="shared" si="3"/>
        <v>10</v>
      </c>
      <c r="AD12" s="59" t="str">
        <f t="shared" si="4"/>
        <v>مهره 20</v>
      </c>
      <c r="AE12" s="59"/>
      <c r="AF12" s="41">
        <f t="shared" si="5"/>
        <v>113</v>
      </c>
      <c r="AG12" s="13" t="s">
        <v>25</v>
      </c>
    </row>
    <row r="13" spans="1:33" ht="18" customHeight="1" x14ac:dyDescent="0.5">
      <c r="A13" s="5">
        <f t="shared" si="2"/>
        <v>11</v>
      </c>
      <c r="B13" s="81"/>
      <c r="C13" s="74" t="s">
        <v>77</v>
      </c>
      <c r="D13" s="74" t="s">
        <v>75</v>
      </c>
      <c r="E13" s="22">
        <v>1</v>
      </c>
      <c r="F13" s="72">
        <v>9676.4</v>
      </c>
      <c r="G13" s="73">
        <v>657.3</v>
      </c>
      <c r="H13" s="72">
        <f t="shared" si="6"/>
        <v>657.3</v>
      </c>
      <c r="J13" s="31" t="s">
        <v>36</v>
      </c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>
        <f>Y10</f>
        <v>96</v>
      </c>
      <c r="Z13" s="55">
        <f t="shared" si="1"/>
        <v>96</v>
      </c>
      <c r="AA13" s="7"/>
      <c r="AC13" s="18">
        <f t="shared" si="3"/>
        <v>11</v>
      </c>
      <c r="AD13" s="59" t="str">
        <f t="shared" si="4"/>
        <v>واشر 20</v>
      </c>
      <c r="AE13" s="59"/>
      <c r="AF13" s="41">
        <f t="shared" si="5"/>
        <v>99</v>
      </c>
      <c r="AG13" s="13" t="s">
        <v>25</v>
      </c>
    </row>
    <row r="14" spans="1:33" ht="18" customHeight="1" thickBot="1" x14ac:dyDescent="0.55000000000000004">
      <c r="A14" s="5">
        <f t="shared" si="2"/>
        <v>12</v>
      </c>
      <c r="B14" s="81"/>
      <c r="C14" s="74" t="s">
        <v>78</v>
      </c>
      <c r="D14" s="74" t="s">
        <v>75</v>
      </c>
      <c r="E14" s="22">
        <v>1</v>
      </c>
      <c r="F14" s="72">
        <v>9729.6</v>
      </c>
      <c r="G14" s="73">
        <v>660.9</v>
      </c>
      <c r="H14" s="72">
        <f t="shared" si="6"/>
        <v>660.9</v>
      </c>
      <c r="J14" s="30" t="s">
        <v>37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>
        <f>Y10</f>
        <v>96</v>
      </c>
      <c r="Z14" s="52">
        <f t="shared" si="1"/>
        <v>96</v>
      </c>
      <c r="AA14" s="7"/>
      <c r="AC14" s="16">
        <f t="shared" si="3"/>
        <v>12</v>
      </c>
      <c r="AD14" s="57" t="str">
        <f t="shared" si="4"/>
        <v>لقمه 20</v>
      </c>
      <c r="AE14" s="57"/>
      <c r="AF14" s="39">
        <f t="shared" si="5"/>
        <v>99</v>
      </c>
      <c r="AG14" s="11" t="s">
        <v>25</v>
      </c>
    </row>
    <row r="15" spans="1:33" ht="18" customHeight="1" x14ac:dyDescent="0.5">
      <c r="A15" s="5">
        <f t="shared" si="2"/>
        <v>13</v>
      </c>
      <c r="B15" s="81"/>
      <c r="C15" s="74" t="s">
        <v>79</v>
      </c>
      <c r="D15" s="74" t="s">
        <v>75</v>
      </c>
      <c r="E15" s="22">
        <v>1</v>
      </c>
      <c r="F15" s="72">
        <v>9845</v>
      </c>
      <c r="G15" s="73">
        <v>667.2</v>
      </c>
      <c r="H15" s="72">
        <f t="shared" si="6"/>
        <v>667.2</v>
      </c>
      <c r="J15" s="27" t="s">
        <v>238</v>
      </c>
      <c r="K15" s="45"/>
      <c r="L15" s="45"/>
      <c r="M15" s="45"/>
      <c r="N15" s="45"/>
      <c r="O15" s="45"/>
      <c r="P15" s="45">
        <f>SUM(E10:E11)*14*1</f>
        <v>154</v>
      </c>
      <c r="Q15" s="45"/>
      <c r="R15" s="45"/>
      <c r="S15" s="45"/>
      <c r="T15" s="45"/>
      <c r="U15" s="45"/>
      <c r="V15" s="45"/>
      <c r="W15" s="45"/>
      <c r="X15" s="45"/>
      <c r="Y15" s="45"/>
      <c r="Z15" s="46">
        <f t="shared" si="1"/>
        <v>154</v>
      </c>
      <c r="AA15" s="7"/>
      <c r="AC15" s="19">
        <f t="shared" si="3"/>
        <v>13</v>
      </c>
      <c r="AD15" s="60" t="str">
        <f t="shared" si="4"/>
        <v xml:space="preserve"> پیچ 24</v>
      </c>
      <c r="AE15" s="60">
        <v>70</v>
      </c>
      <c r="AF15" s="42">
        <f t="shared" si="5"/>
        <v>157</v>
      </c>
      <c r="AG15" s="14" t="s">
        <v>32</v>
      </c>
    </row>
    <row r="16" spans="1:33" ht="18" customHeight="1" thickBot="1" x14ac:dyDescent="0.55000000000000004">
      <c r="A16" s="5">
        <f t="shared" si="2"/>
        <v>14</v>
      </c>
      <c r="B16" s="81"/>
      <c r="C16" s="74" t="s">
        <v>80</v>
      </c>
      <c r="D16" s="74" t="s">
        <v>81</v>
      </c>
      <c r="E16" s="22">
        <v>1</v>
      </c>
      <c r="F16" s="72">
        <v>9890</v>
      </c>
      <c r="G16" s="73">
        <v>668.9</v>
      </c>
      <c r="H16" s="72">
        <f t="shared" si="6"/>
        <v>668.9</v>
      </c>
      <c r="J16" s="30" t="s">
        <v>239</v>
      </c>
      <c r="K16" s="51"/>
      <c r="L16" s="51"/>
      <c r="M16" s="51"/>
      <c r="N16" s="51"/>
      <c r="O16" s="51"/>
      <c r="P16" s="45">
        <f>P15</f>
        <v>154</v>
      </c>
      <c r="Q16" s="45"/>
      <c r="R16" s="45"/>
      <c r="S16" s="45"/>
      <c r="T16" s="45"/>
      <c r="U16" s="51"/>
      <c r="V16" s="51"/>
      <c r="W16" s="51"/>
      <c r="X16" s="51"/>
      <c r="Y16" s="51"/>
      <c r="Z16" s="48">
        <f t="shared" si="1"/>
        <v>154</v>
      </c>
      <c r="AA16" s="9"/>
      <c r="AC16" s="16">
        <f t="shared" si="3"/>
        <v>14</v>
      </c>
      <c r="AD16" s="57" t="str">
        <f t="shared" si="4"/>
        <v>مهر24</v>
      </c>
      <c r="AE16" s="57"/>
      <c r="AF16" s="39">
        <f t="shared" si="5"/>
        <v>157</v>
      </c>
      <c r="AG16" s="11" t="s">
        <v>25</v>
      </c>
    </row>
    <row r="17" spans="1:33" ht="18" customHeight="1" x14ac:dyDescent="0.5">
      <c r="A17" s="5">
        <f t="shared" si="2"/>
        <v>15</v>
      </c>
      <c r="B17" s="81"/>
      <c r="C17" s="74" t="s">
        <v>82</v>
      </c>
      <c r="D17" s="74" t="s">
        <v>75</v>
      </c>
      <c r="E17" s="22">
        <v>1</v>
      </c>
      <c r="F17" s="72">
        <v>9750</v>
      </c>
      <c r="G17" s="73">
        <v>661.9</v>
      </c>
      <c r="H17" s="72">
        <f t="shared" si="6"/>
        <v>661.9</v>
      </c>
      <c r="J17" s="29" t="s">
        <v>38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50">
        <f t="shared" si="1"/>
        <v>0</v>
      </c>
      <c r="AA17" s="7"/>
      <c r="AC17" s="15">
        <f t="shared" si="3"/>
        <v>15</v>
      </c>
      <c r="AD17" s="56" t="str">
        <f t="shared" si="4"/>
        <v>پیچ 25</v>
      </c>
      <c r="AE17" s="56"/>
      <c r="AF17" s="38">
        <f t="shared" si="5"/>
        <v>0</v>
      </c>
      <c r="AG17" s="10" t="s">
        <v>32</v>
      </c>
    </row>
    <row r="18" spans="1:33" ht="18" customHeight="1" thickBot="1" x14ac:dyDescent="0.55000000000000004">
      <c r="A18" s="5">
        <f t="shared" si="2"/>
        <v>16</v>
      </c>
      <c r="B18" s="81"/>
      <c r="C18" s="74" t="s">
        <v>83</v>
      </c>
      <c r="D18" s="74" t="s">
        <v>75</v>
      </c>
      <c r="E18" s="22">
        <v>1</v>
      </c>
      <c r="F18" s="72">
        <v>9781.6</v>
      </c>
      <c r="G18" s="73">
        <v>663.5</v>
      </c>
      <c r="H18" s="72">
        <f t="shared" si="6"/>
        <v>663.5</v>
      </c>
      <c r="J18" s="30" t="s">
        <v>39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>
        <f>SUM(0)*2</f>
        <v>0</v>
      </c>
      <c r="Y18" s="51"/>
      <c r="Z18" s="48">
        <f t="shared" si="1"/>
        <v>0</v>
      </c>
      <c r="AA18" s="9"/>
      <c r="AC18" s="17">
        <f t="shared" si="3"/>
        <v>16</v>
      </c>
      <c r="AD18" s="58" t="str">
        <f t="shared" si="4"/>
        <v>مهره 25</v>
      </c>
      <c r="AE18" s="58"/>
      <c r="AF18" s="40">
        <f t="shared" si="5"/>
        <v>0</v>
      </c>
      <c r="AG18" s="12" t="s">
        <v>25</v>
      </c>
    </row>
    <row r="19" spans="1:33" ht="18" customHeight="1" x14ac:dyDescent="0.5">
      <c r="A19" s="5">
        <f t="shared" si="2"/>
        <v>17</v>
      </c>
      <c r="B19" s="81"/>
      <c r="C19" s="74" t="s">
        <v>84</v>
      </c>
      <c r="D19" s="74" t="s">
        <v>85</v>
      </c>
      <c r="E19" s="22">
        <v>1</v>
      </c>
      <c r="F19" s="72">
        <v>9798.2000000000007</v>
      </c>
      <c r="G19" s="73">
        <v>664.1</v>
      </c>
      <c r="H19" s="72">
        <f t="shared" si="6"/>
        <v>664.1</v>
      </c>
      <c r="J19" s="27" t="s">
        <v>40</v>
      </c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>
        <f>X18</f>
        <v>0</v>
      </c>
      <c r="Y19" s="45"/>
      <c r="Z19" s="50">
        <f t="shared" si="1"/>
        <v>0</v>
      </c>
      <c r="AA19" s="7"/>
      <c r="AC19" s="15">
        <f t="shared" si="3"/>
        <v>17</v>
      </c>
      <c r="AD19" s="56" t="str">
        <f t="shared" si="4"/>
        <v>واشر 27</v>
      </c>
      <c r="AE19" s="56"/>
      <c r="AF19" s="38">
        <f t="shared" si="5"/>
        <v>0</v>
      </c>
      <c r="AG19" s="10" t="s">
        <v>25</v>
      </c>
    </row>
    <row r="20" spans="1:33" ht="18" customHeight="1" thickBot="1" x14ac:dyDescent="0.55000000000000004">
      <c r="A20" s="5">
        <f t="shared" si="2"/>
        <v>18</v>
      </c>
      <c r="B20" s="81"/>
      <c r="C20" s="74" t="s">
        <v>86</v>
      </c>
      <c r="D20" s="74" t="s">
        <v>81</v>
      </c>
      <c r="E20" s="22">
        <v>1</v>
      </c>
      <c r="F20" s="72">
        <v>9831.5</v>
      </c>
      <c r="G20" s="73">
        <v>665.7</v>
      </c>
      <c r="H20" s="72">
        <f t="shared" si="6"/>
        <v>665.7</v>
      </c>
      <c r="J20" s="30" t="s">
        <v>41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>
        <f>X18</f>
        <v>0</v>
      </c>
      <c r="Y20" s="51"/>
      <c r="Z20" s="48">
        <f t="shared" si="1"/>
        <v>0</v>
      </c>
      <c r="AA20" s="9"/>
      <c r="AC20" s="17">
        <f t="shared" si="3"/>
        <v>18</v>
      </c>
      <c r="AD20" s="58" t="str">
        <f t="shared" si="4"/>
        <v>لقمه 27</v>
      </c>
      <c r="AE20" s="58"/>
      <c r="AF20" s="40">
        <f t="shared" si="5"/>
        <v>0</v>
      </c>
      <c r="AG20" s="12" t="s">
        <v>25</v>
      </c>
    </row>
    <row r="21" spans="1:33" ht="18" customHeight="1" x14ac:dyDescent="0.5">
      <c r="A21" s="5">
        <f t="shared" si="2"/>
        <v>19</v>
      </c>
      <c r="B21" s="81"/>
      <c r="C21" s="74" t="s">
        <v>87</v>
      </c>
      <c r="D21" s="74" t="s">
        <v>85</v>
      </c>
      <c r="E21" s="22">
        <v>1</v>
      </c>
      <c r="F21" s="72">
        <v>9750.9</v>
      </c>
      <c r="G21" s="73">
        <v>661.9</v>
      </c>
      <c r="H21" s="72">
        <f t="shared" si="6"/>
        <v>661.9</v>
      </c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"/>
      <c r="AB21" s="35"/>
      <c r="AC21" s="15">
        <f t="shared" si="3"/>
        <v>19</v>
      </c>
      <c r="AD21" s="61" t="s">
        <v>42</v>
      </c>
      <c r="AE21" s="61">
        <v>1100</v>
      </c>
      <c r="AF21" s="43">
        <f>(22)*2*10</f>
        <v>440</v>
      </c>
      <c r="AG21" s="10" t="s">
        <v>25</v>
      </c>
    </row>
    <row r="22" spans="1:33" ht="18" customHeight="1" thickBot="1" x14ac:dyDescent="0.55000000000000004">
      <c r="A22" s="5">
        <f t="shared" si="2"/>
        <v>20</v>
      </c>
      <c r="B22" s="82"/>
      <c r="C22" s="74" t="s">
        <v>88</v>
      </c>
      <c r="D22" s="74" t="s">
        <v>81</v>
      </c>
      <c r="E22" s="22">
        <v>1</v>
      </c>
      <c r="F22" s="72">
        <v>9803</v>
      </c>
      <c r="G22" s="73">
        <v>669.4</v>
      </c>
      <c r="H22" s="72">
        <f t="shared" si="6"/>
        <v>669.4</v>
      </c>
      <c r="J22" s="37"/>
      <c r="K22" s="37"/>
      <c r="L22" s="37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37"/>
      <c r="Y22" s="37"/>
      <c r="Z22" s="37"/>
      <c r="AA22" s="9"/>
      <c r="AB22" s="35"/>
      <c r="AC22" s="17">
        <f>AC21+1</f>
        <v>20</v>
      </c>
      <c r="AD22" s="62" t="s">
        <v>42</v>
      </c>
      <c r="AE22" s="62">
        <v>500</v>
      </c>
      <c r="AF22" s="44">
        <f>(2*10)</f>
        <v>20</v>
      </c>
      <c r="AG22" s="12" t="s">
        <v>25</v>
      </c>
    </row>
    <row r="23" spans="1:33" ht="18" customHeight="1" x14ac:dyDescent="0.5">
      <c r="A23" s="5">
        <f t="shared" si="2"/>
        <v>21</v>
      </c>
      <c r="B23" s="80" t="s">
        <v>51</v>
      </c>
      <c r="C23" s="74" t="s">
        <v>89</v>
      </c>
      <c r="D23" s="74" t="s">
        <v>54</v>
      </c>
      <c r="E23" s="22">
        <v>28</v>
      </c>
      <c r="F23" s="72">
        <v>7613</v>
      </c>
      <c r="G23" s="73">
        <v>13.7</v>
      </c>
      <c r="H23" s="72">
        <f t="shared" si="6"/>
        <v>383.59999999999997</v>
      </c>
      <c r="J23" s="7"/>
      <c r="K23" s="7"/>
      <c r="L23" s="7"/>
      <c r="M23" s="70" t="s">
        <v>72</v>
      </c>
      <c r="N23" s="70" t="s">
        <v>72</v>
      </c>
      <c r="O23" s="70" t="s">
        <v>72</v>
      </c>
      <c r="P23" s="70"/>
      <c r="Q23" s="70" t="s">
        <v>72</v>
      </c>
      <c r="R23" s="70"/>
      <c r="S23" s="70"/>
      <c r="T23" s="70"/>
      <c r="U23" s="70"/>
      <c r="V23" s="70"/>
      <c r="W23" s="70" t="s">
        <v>72</v>
      </c>
      <c r="X23" s="70" t="s">
        <v>72</v>
      </c>
      <c r="Y23" s="7"/>
      <c r="Z23" s="7"/>
      <c r="AA23" s="7"/>
      <c r="AB23" s="35"/>
      <c r="AC23" s="15">
        <f t="shared" si="3"/>
        <v>21</v>
      </c>
      <c r="AD23" s="63" t="s">
        <v>43</v>
      </c>
      <c r="AE23" s="63">
        <v>1000</v>
      </c>
      <c r="AF23" s="75">
        <f>SUM(E23:E24)*0.75</f>
        <v>36</v>
      </c>
      <c r="AG23" s="20" t="s">
        <v>25</v>
      </c>
    </row>
    <row r="24" spans="1:33" ht="18" customHeight="1" thickBot="1" x14ac:dyDescent="0.55000000000000004">
      <c r="A24" s="5">
        <f t="shared" si="2"/>
        <v>22</v>
      </c>
      <c r="B24" s="82"/>
      <c r="C24" s="74" t="s">
        <v>90</v>
      </c>
      <c r="D24" s="74" t="s">
        <v>54</v>
      </c>
      <c r="E24" s="22">
        <v>20</v>
      </c>
      <c r="F24" s="72">
        <v>7484</v>
      </c>
      <c r="G24" s="73">
        <v>13.5</v>
      </c>
      <c r="H24" s="72">
        <f t="shared" si="6"/>
        <v>270</v>
      </c>
      <c r="P24" s="70" t="s">
        <v>72</v>
      </c>
      <c r="W24" s="70"/>
      <c r="X24" s="70" t="s">
        <v>72</v>
      </c>
      <c r="AA24" s="7"/>
      <c r="AB24" s="35"/>
      <c r="AC24" s="16">
        <f t="shared" si="3"/>
        <v>22</v>
      </c>
      <c r="AD24" s="64" t="s">
        <v>44</v>
      </c>
      <c r="AE24" s="64">
        <v>1000</v>
      </c>
      <c r="AF24" s="76">
        <f>SUM(0)*0.75</f>
        <v>0</v>
      </c>
      <c r="AG24" s="21" t="s">
        <v>25</v>
      </c>
    </row>
    <row r="25" spans="1:33" ht="18" customHeight="1" thickBot="1" x14ac:dyDescent="0.35">
      <c r="A25" s="5">
        <f t="shared" si="2"/>
        <v>23</v>
      </c>
      <c r="B25" s="80" t="s">
        <v>16</v>
      </c>
      <c r="C25" s="74" t="s">
        <v>91</v>
      </c>
      <c r="D25" s="74" t="s">
        <v>57</v>
      </c>
      <c r="E25" s="22">
        <v>20</v>
      </c>
      <c r="F25" s="72">
        <v>5733</v>
      </c>
      <c r="G25" s="73">
        <v>52.9</v>
      </c>
      <c r="H25" s="72">
        <f t="shared" si="6"/>
        <v>1058</v>
      </c>
      <c r="AC25" s="16">
        <f t="shared" si="3"/>
        <v>23</v>
      </c>
      <c r="AD25" s="64" t="s">
        <v>241</v>
      </c>
      <c r="AE25" s="64"/>
      <c r="AF25" s="78">
        <f>(11*4+4*2)+P9*2+5</f>
        <v>321</v>
      </c>
      <c r="AG25" s="21" t="s">
        <v>25</v>
      </c>
    </row>
    <row r="26" spans="1:33" ht="18" customHeight="1" x14ac:dyDescent="0.3">
      <c r="A26" s="5">
        <f t="shared" si="2"/>
        <v>24</v>
      </c>
      <c r="B26" s="81"/>
      <c r="C26" s="74" t="s">
        <v>92</v>
      </c>
      <c r="D26" s="74" t="s">
        <v>57</v>
      </c>
      <c r="E26" s="22">
        <v>4</v>
      </c>
      <c r="F26" s="72">
        <v>5175</v>
      </c>
      <c r="G26" s="73">
        <v>48.3</v>
      </c>
      <c r="H26" s="72">
        <f t="shared" si="6"/>
        <v>193.2</v>
      </c>
    </row>
    <row r="27" spans="1:33" ht="18" customHeight="1" x14ac:dyDescent="0.3">
      <c r="A27" s="5">
        <f t="shared" si="2"/>
        <v>25</v>
      </c>
      <c r="B27" s="81"/>
      <c r="C27" s="74" t="s">
        <v>93</v>
      </c>
      <c r="D27" s="74" t="s">
        <v>57</v>
      </c>
      <c r="E27" s="22">
        <v>4</v>
      </c>
      <c r="F27" s="72">
        <v>5712</v>
      </c>
      <c r="G27" s="73">
        <v>52.8</v>
      </c>
      <c r="H27" s="72">
        <f t="shared" si="6"/>
        <v>211.2</v>
      </c>
    </row>
    <row r="28" spans="1:33" ht="18" customHeight="1" x14ac:dyDescent="0.3">
      <c r="A28" s="5">
        <f t="shared" si="2"/>
        <v>26</v>
      </c>
      <c r="B28" s="81"/>
      <c r="C28" s="74" t="s">
        <v>94</v>
      </c>
      <c r="D28" s="74" t="s">
        <v>57</v>
      </c>
      <c r="E28" s="22">
        <v>2</v>
      </c>
      <c r="F28" s="72">
        <v>5719</v>
      </c>
      <c r="G28" s="73">
        <v>52.8</v>
      </c>
      <c r="H28" s="72">
        <f t="shared" si="6"/>
        <v>105.6</v>
      </c>
      <c r="AC28" s="84" t="s">
        <v>240</v>
      </c>
      <c r="AD28" s="84"/>
      <c r="AE28" s="84"/>
      <c r="AF28" s="84"/>
      <c r="AG28" s="84"/>
    </row>
    <row r="29" spans="1:33" ht="18" customHeight="1" x14ac:dyDescent="0.3">
      <c r="A29" s="5">
        <f t="shared" si="2"/>
        <v>27</v>
      </c>
      <c r="B29" s="81"/>
      <c r="C29" s="74" t="s">
        <v>95</v>
      </c>
      <c r="D29" s="74" t="s">
        <v>57</v>
      </c>
      <c r="E29" s="22">
        <v>8</v>
      </c>
      <c r="F29" s="72">
        <v>5710</v>
      </c>
      <c r="G29" s="73">
        <v>52.7</v>
      </c>
      <c r="H29" s="72">
        <f t="shared" si="6"/>
        <v>421.6</v>
      </c>
    </row>
    <row r="30" spans="1:33" ht="18" customHeight="1" x14ac:dyDescent="0.3">
      <c r="A30" s="5">
        <f t="shared" si="2"/>
        <v>28</v>
      </c>
      <c r="B30" s="81"/>
      <c r="C30" s="74" t="s">
        <v>96</v>
      </c>
      <c r="D30" s="74" t="s">
        <v>57</v>
      </c>
      <c r="E30" s="22">
        <v>1</v>
      </c>
      <c r="F30" s="72">
        <v>5708</v>
      </c>
      <c r="G30" s="73">
        <v>52.7</v>
      </c>
      <c r="H30" s="72">
        <f t="shared" si="6"/>
        <v>52.7</v>
      </c>
    </row>
    <row r="31" spans="1:33" ht="18" customHeight="1" x14ac:dyDescent="0.3">
      <c r="A31" s="5">
        <f t="shared" si="2"/>
        <v>29</v>
      </c>
      <c r="B31" s="81"/>
      <c r="C31" s="74" t="s">
        <v>97</v>
      </c>
      <c r="D31" s="74" t="s">
        <v>57</v>
      </c>
      <c r="E31" s="22">
        <v>6</v>
      </c>
      <c r="F31" s="72">
        <v>5724</v>
      </c>
      <c r="G31" s="73">
        <v>52.9</v>
      </c>
      <c r="H31" s="72">
        <f t="shared" si="6"/>
        <v>317.39999999999998</v>
      </c>
    </row>
    <row r="32" spans="1:33" ht="18" customHeight="1" x14ac:dyDescent="0.3">
      <c r="A32" s="5">
        <f t="shared" si="2"/>
        <v>30</v>
      </c>
      <c r="B32" s="81"/>
      <c r="C32" s="74" t="s">
        <v>98</v>
      </c>
      <c r="D32" s="74" t="s">
        <v>57</v>
      </c>
      <c r="E32" s="22">
        <v>2</v>
      </c>
      <c r="F32" s="72">
        <v>5809</v>
      </c>
      <c r="G32" s="73">
        <v>53.5</v>
      </c>
      <c r="H32" s="72">
        <f t="shared" si="6"/>
        <v>107</v>
      </c>
    </row>
    <row r="33" spans="1:33" ht="18" customHeight="1" x14ac:dyDescent="0.3">
      <c r="A33" s="5">
        <f t="shared" si="2"/>
        <v>31</v>
      </c>
      <c r="B33" s="81"/>
      <c r="C33" s="74" t="s">
        <v>99</v>
      </c>
      <c r="D33" s="74" t="s">
        <v>57</v>
      </c>
      <c r="E33" s="22">
        <v>3</v>
      </c>
      <c r="F33" s="72">
        <v>5689</v>
      </c>
      <c r="G33" s="73">
        <v>52.6</v>
      </c>
      <c r="H33" s="72">
        <f t="shared" si="6"/>
        <v>157.80000000000001</v>
      </c>
    </row>
    <row r="34" spans="1:33" ht="18" customHeight="1" x14ac:dyDescent="0.3">
      <c r="A34" s="5">
        <f t="shared" si="2"/>
        <v>32</v>
      </c>
      <c r="B34" s="81"/>
      <c r="C34" s="74" t="s">
        <v>100</v>
      </c>
      <c r="D34" s="74" t="s">
        <v>57</v>
      </c>
      <c r="E34" s="22">
        <v>4</v>
      </c>
      <c r="F34" s="72">
        <v>5720</v>
      </c>
      <c r="G34" s="73">
        <v>52.8</v>
      </c>
      <c r="H34" s="72">
        <f t="shared" si="6"/>
        <v>211.2</v>
      </c>
    </row>
    <row r="35" spans="1:33" ht="18" customHeight="1" x14ac:dyDescent="0.3">
      <c r="A35" s="5">
        <f t="shared" si="2"/>
        <v>33</v>
      </c>
      <c r="B35" s="81"/>
      <c r="C35" s="74" t="s">
        <v>101</v>
      </c>
      <c r="D35" s="74" t="s">
        <v>57</v>
      </c>
      <c r="E35" s="22">
        <v>1</v>
      </c>
      <c r="F35" s="72">
        <v>5725</v>
      </c>
      <c r="G35" s="73">
        <v>52.8</v>
      </c>
      <c r="H35" s="72">
        <f t="shared" si="6"/>
        <v>52.8</v>
      </c>
    </row>
    <row r="36" spans="1:33" ht="18" customHeight="1" x14ac:dyDescent="0.3">
      <c r="A36" s="5">
        <f t="shared" si="2"/>
        <v>34</v>
      </c>
      <c r="B36" s="81"/>
      <c r="C36" s="74" t="s">
        <v>102</v>
      </c>
      <c r="D36" s="74" t="s">
        <v>57</v>
      </c>
      <c r="E36" s="22">
        <v>2</v>
      </c>
      <c r="F36" s="72">
        <v>5693</v>
      </c>
      <c r="G36" s="73">
        <v>52.6</v>
      </c>
      <c r="H36" s="72">
        <f t="shared" si="6"/>
        <v>105.2</v>
      </c>
    </row>
    <row r="37" spans="1:33" ht="18" customHeight="1" x14ac:dyDescent="0.3">
      <c r="A37" s="5">
        <f t="shared" si="2"/>
        <v>35</v>
      </c>
      <c r="B37" s="81"/>
      <c r="C37" s="74" t="s">
        <v>103</v>
      </c>
      <c r="D37" s="74" t="s">
        <v>57</v>
      </c>
      <c r="E37" s="22">
        <v>1</v>
      </c>
      <c r="F37" s="72">
        <v>5844</v>
      </c>
      <c r="G37" s="73">
        <v>53.8</v>
      </c>
      <c r="H37" s="72">
        <f t="shared" si="6"/>
        <v>53.8</v>
      </c>
    </row>
    <row r="38" spans="1:33" ht="18" customHeight="1" x14ac:dyDescent="0.3">
      <c r="A38" s="5">
        <f t="shared" si="2"/>
        <v>36</v>
      </c>
      <c r="B38" s="81"/>
      <c r="C38" s="74" t="s">
        <v>104</v>
      </c>
      <c r="D38" s="74" t="s">
        <v>57</v>
      </c>
      <c r="E38" s="22">
        <v>1</v>
      </c>
      <c r="F38" s="72">
        <v>5664</v>
      </c>
      <c r="G38" s="73">
        <v>52.3</v>
      </c>
      <c r="H38" s="72">
        <f t="shared" si="6"/>
        <v>52.3</v>
      </c>
    </row>
    <row r="39" spans="1:33" ht="18" customHeight="1" x14ac:dyDescent="0.3">
      <c r="A39" s="5">
        <f t="shared" si="2"/>
        <v>37</v>
      </c>
      <c r="B39" s="82"/>
      <c r="C39" s="74" t="s">
        <v>105</v>
      </c>
      <c r="D39" s="74" t="s">
        <v>57</v>
      </c>
      <c r="E39" s="22">
        <v>1</v>
      </c>
      <c r="F39" s="72">
        <v>5772</v>
      </c>
      <c r="G39" s="73">
        <v>53.2</v>
      </c>
      <c r="H39" s="72">
        <f t="shared" si="6"/>
        <v>53.2</v>
      </c>
    </row>
    <row r="40" spans="1:33" ht="18" customHeight="1" x14ac:dyDescent="0.3">
      <c r="A40" s="5">
        <f t="shared" si="2"/>
        <v>38</v>
      </c>
      <c r="B40" s="77" t="s">
        <v>12</v>
      </c>
      <c r="C40" s="74" t="s">
        <v>52</v>
      </c>
      <c r="D40" s="74" t="s">
        <v>106</v>
      </c>
      <c r="E40" s="22">
        <v>4</v>
      </c>
      <c r="F40" s="72">
        <f>8222</f>
        <v>8222</v>
      </c>
      <c r="G40" s="73">
        <f>239.4+9.5</f>
        <v>248.9</v>
      </c>
      <c r="H40" s="72">
        <f t="shared" si="6"/>
        <v>995.6</v>
      </c>
    </row>
    <row r="41" spans="1:33" ht="18" customHeight="1" x14ac:dyDescent="0.3">
      <c r="A41" s="5">
        <f t="shared" si="2"/>
        <v>39</v>
      </c>
      <c r="B41" s="83" t="s">
        <v>53</v>
      </c>
      <c r="C41" s="74" t="s">
        <v>66</v>
      </c>
      <c r="D41" s="74" t="s">
        <v>67</v>
      </c>
      <c r="E41" s="22">
        <v>1</v>
      </c>
      <c r="F41" s="72">
        <v>6874</v>
      </c>
      <c r="G41" s="73">
        <v>45.9</v>
      </c>
      <c r="H41" s="72">
        <f t="shared" si="6"/>
        <v>45.9</v>
      </c>
    </row>
    <row r="42" spans="1:33" ht="18" customHeight="1" x14ac:dyDescent="0.3">
      <c r="A42" s="5">
        <f t="shared" si="2"/>
        <v>40</v>
      </c>
      <c r="B42" s="83"/>
      <c r="C42" s="74" t="s">
        <v>68</v>
      </c>
      <c r="D42" s="74" t="s">
        <v>169</v>
      </c>
      <c r="E42" s="22">
        <v>1</v>
      </c>
      <c r="F42" s="72">
        <v>6881</v>
      </c>
      <c r="G42" s="73">
        <v>45.9</v>
      </c>
      <c r="H42" s="72">
        <f t="shared" ref="H42" si="8">G42*E42</f>
        <v>45.9</v>
      </c>
    </row>
    <row r="43" spans="1:33" ht="18" customHeight="1" x14ac:dyDescent="0.3">
      <c r="A43" s="5">
        <f t="shared" si="2"/>
        <v>41</v>
      </c>
      <c r="B43" s="83"/>
      <c r="C43" s="74" t="s">
        <v>69</v>
      </c>
      <c r="D43" s="74" t="s">
        <v>170</v>
      </c>
      <c r="E43" s="22">
        <v>1</v>
      </c>
      <c r="F43" s="72">
        <v>6889</v>
      </c>
      <c r="G43" s="73">
        <v>46</v>
      </c>
      <c r="H43" s="72">
        <f t="shared" ref="H43:H106" si="9">G43*E43</f>
        <v>46</v>
      </c>
      <c r="I43" s="8"/>
      <c r="AB43" s="36"/>
    </row>
    <row r="44" spans="1:33" ht="18" customHeight="1" x14ac:dyDescent="0.3">
      <c r="A44" s="5">
        <f t="shared" si="2"/>
        <v>42</v>
      </c>
      <c r="B44" s="83"/>
      <c r="C44" s="74" t="s">
        <v>70</v>
      </c>
      <c r="D44" s="74" t="s">
        <v>171</v>
      </c>
      <c r="E44" s="22">
        <v>1</v>
      </c>
      <c r="F44" s="72">
        <v>6898</v>
      </c>
      <c r="G44" s="73">
        <v>46</v>
      </c>
      <c r="H44" s="72">
        <f t="shared" si="9"/>
        <v>46</v>
      </c>
      <c r="I44" s="8"/>
      <c r="AB44" s="36"/>
      <c r="AC44" s="8"/>
      <c r="AG44"/>
    </row>
    <row r="45" spans="1:33" ht="18" customHeight="1" x14ac:dyDescent="0.3">
      <c r="A45" s="5">
        <f t="shared" si="2"/>
        <v>43</v>
      </c>
      <c r="B45" s="83"/>
      <c r="C45" s="74" t="s">
        <v>71</v>
      </c>
      <c r="D45" s="74" t="s">
        <v>172</v>
      </c>
      <c r="E45" s="22">
        <v>1</v>
      </c>
      <c r="F45" s="72">
        <v>6907</v>
      </c>
      <c r="G45" s="73">
        <v>46.1</v>
      </c>
      <c r="H45" s="72">
        <f t="shared" si="9"/>
        <v>46.1</v>
      </c>
      <c r="I45" s="8"/>
      <c r="AB45" s="36"/>
      <c r="AC45" s="8"/>
      <c r="AG45"/>
    </row>
    <row r="46" spans="1:33" ht="18" customHeight="1" x14ac:dyDescent="0.3">
      <c r="A46" s="5">
        <f t="shared" si="2"/>
        <v>44</v>
      </c>
      <c r="B46" s="83"/>
      <c r="C46" s="74" t="s">
        <v>107</v>
      </c>
      <c r="D46" s="74" t="s">
        <v>173</v>
      </c>
      <c r="E46" s="22">
        <v>1</v>
      </c>
      <c r="F46" s="72">
        <v>6916</v>
      </c>
      <c r="G46" s="73">
        <v>46.1</v>
      </c>
      <c r="H46" s="72">
        <f t="shared" si="9"/>
        <v>46.1</v>
      </c>
      <c r="I46" s="8"/>
      <c r="AB46" s="36"/>
      <c r="AC46" s="8"/>
      <c r="AG46"/>
    </row>
    <row r="47" spans="1:33" ht="18" customHeight="1" x14ac:dyDescent="0.3">
      <c r="A47" s="5">
        <f t="shared" si="2"/>
        <v>45</v>
      </c>
      <c r="B47" s="83"/>
      <c r="C47" s="74" t="s">
        <v>108</v>
      </c>
      <c r="D47" s="74" t="s">
        <v>174</v>
      </c>
      <c r="E47" s="22">
        <v>1</v>
      </c>
      <c r="F47" s="72">
        <v>6925</v>
      </c>
      <c r="G47" s="73">
        <v>46.2</v>
      </c>
      <c r="H47" s="72">
        <f t="shared" si="9"/>
        <v>46.2</v>
      </c>
      <c r="I47" s="8"/>
      <c r="AB47" s="36"/>
      <c r="AC47" s="8"/>
      <c r="AG47"/>
    </row>
    <row r="48" spans="1:33" ht="18" customHeight="1" x14ac:dyDescent="0.3">
      <c r="A48" s="5">
        <f t="shared" si="2"/>
        <v>46</v>
      </c>
      <c r="B48" s="83"/>
      <c r="C48" s="74" t="s">
        <v>109</v>
      </c>
      <c r="D48" s="74" t="s">
        <v>175</v>
      </c>
      <c r="E48" s="22">
        <v>1</v>
      </c>
      <c r="F48" s="72">
        <v>6934</v>
      </c>
      <c r="G48" s="73">
        <v>46.3</v>
      </c>
      <c r="H48" s="72">
        <f t="shared" si="9"/>
        <v>46.3</v>
      </c>
      <c r="I48" s="8"/>
      <c r="AB48" s="36"/>
      <c r="AC48" s="8"/>
      <c r="AG48"/>
    </row>
    <row r="49" spans="1:33" ht="18" customHeight="1" x14ac:dyDescent="0.3">
      <c r="A49" s="5">
        <f t="shared" si="2"/>
        <v>47</v>
      </c>
      <c r="B49" s="83"/>
      <c r="C49" s="74" t="s">
        <v>110</v>
      </c>
      <c r="D49" s="74" t="s">
        <v>176</v>
      </c>
      <c r="E49" s="22">
        <v>1</v>
      </c>
      <c r="F49" s="72">
        <v>6943</v>
      </c>
      <c r="G49" s="73">
        <v>46.3</v>
      </c>
      <c r="H49" s="72">
        <f t="shared" si="9"/>
        <v>46.3</v>
      </c>
      <c r="I49" s="8"/>
      <c r="AB49" s="36"/>
      <c r="AC49" s="8"/>
      <c r="AG49"/>
    </row>
    <row r="50" spans="1:33" ht="18" customHeight="1" x14ac:dyDescent="0.3">
      <c r="A50" s="5">
        <f t="shared" si="2"/>
        <v>48</v>
      </c>
      <c r="B50" s="83"/>
      <c r="C50" s="74" t="s">
        <v>111</v>
      </c>
      <c r="D50" s="74" t="s">
        <v>177</v>
      </c>
      <c r="E50" s="22">
        <v>1</v>
      </c>
      <c r="F50" s="72">
        <v>6952</v>
      </c>
      <c r="G50" s="73">
        <v>46.4</v>
      </c>
      <c r="H50" s="72">
        <f t="shared" si="9"/>
        <v>46.4</v>
      </c>
      <c r="I50" s="8"/>
      <c r="AB50" s="36"/>
      <c r="AC50" s="8"/>
      <c r="AG50"/>
    </row>
    <row r="51" spans="1:33" ht="18" customHeight="1" x14ac:dyDescent="0.3">
      <c r="A51" s="5">
        <f t="shared" si="2"/>
        <v>49</v>
      </c>
      <c r="B51" s="83"/>
      <c r="C51" s="74" t="s">
        <v>112</v>
      </c>
      <c r="D51" s="74" t="s">
        <v>178</v>
      </c>
      <c r="E51" s="22">
        <v>1</v>
      </c>
      <c r="F51" s="72">
        <v>6961</v>
      </c>
      <c r="G51" s="73">
        <v>46.5</v>
      </c>
      <c r="H51" s="72">
        <f t="shared" si="9"/>
        <v>46.5</v>
      </c>
      <c r="I51" s="8"/>
      <c r="AB51" s="36"/>
      <c r="AC51" s="8"/>
      <c r="AG51"/>
    </row>
    <row r="52" spans="1:33" ht="18" customHeight="1" x14ac:dyDescent="0.3">
      <c r="A52" s="5">
        <f t="shared" si="2"/>
        <v>50</v>
      </c>
      <c r="B52" s="83"/>
      <c r="C52" s="74" t="s">
        <v>113</v>
      </c>
      <c r="D52" s="74" t="s">
        <v>179</v>
      </c>
      <c r="E52" s="22">
        <v>1</v>
      </c>
      <c r="F52" s="72">
        <v>6971</v>
      </c>
      <c r="G52" s="73">
        <v>46.5</v>
      </c>
      <c r="H52" s="72">
        <f t="shared" si="9"/>
        <v>46.5</v>
      </c>
      <c r="I52" s="8"/>
      <c r="AB52" s="36"/>
      <c r="AC52" s="8"/>
      <c r="AG52"/>
    </row>
    <row r="53" spans="1:33" ht="18" customHeight="1" x14ac:dyDescent="0.3">
      <c r="A53" s="5">
        <f t="shared" si="2"/>
        <v>51</v>
      </c>
      <c r="B53" s="83"/>
      <c r="C53" s="74" t="s">
        <v>114</v>
      </c>
      <c r="D53" s="74" t="s">
        <v>180</v>
      </c>
      <c r="E53" s="22">
        <v>1</v>
      </c>
      <c r="F53" s="72">
        <v>6980</v>
      </c>
      <c r="G53" s="73">
        <v>46.6</v>
      </c>
      <c r="H53" s="72">
        <f t="shared" si="9"/>
        <v>46.6</v>
      </c>
      <c r="I53" s="8"/>
      <c r="AB53" s="36"/>
      <c r="AC53" s="8"/>
      <c r="AG53"/>
    </row>
    <row r="54" spans="1:33" ht="18" customHeight="1" x14ac:dyDescent="0.3">
      <c r="A54" s="5">
        <f t="shared" si="2"/>
        <v>52</v>
      </c>
      <c r="B54" s="83"/>
      <c r="C54" s="74" t="s">
        <v>115</v>
      </c>
      <c r="D54" s="74" t="s">
        <v>181</v>
      </c>
      <c r="E54" s="22">
        <v>1</v>
      </c>
      <c r="F54" s="72">
        <v>6984</v>
      </c>
      <c r="G54" s="73">
        <v>46.6</v>
      </c>
      <c r="H54" s="72">
        <f t="shared" si="9"/>
        <v>46.6</v>
      </c>
      <c r="I54" s="8"/>
      <c r="AB54" s="36"/>
      <c r="AC54" s="8"/>
      <c r="AG54"/>
    </row>
    <row r="55" spans="1:33" ht="18" customHeight="1" x14ac:dyDescent="0.3">
      <c r="A55" s="5">
        <f t="shared" si="2"/>
        <v>53</v>
      </c>
      <c r="B55" s="83"/>
      <c r="C55" s="74" t="s">
        <v>116</v>
      </c>
      <c r="D55" s="74" t="s">
        <v>182</v>
      </c>
      <c r="E55" s="22">
        <v>1</v>
      </c>
      <c r="F55" s="72">
        <v>6993</v>
      </c>
      <c r="G55" s="73">
        <v>46.7</v>
      </c>
      <c r="H55" s="72">
        <f t="shared" si="9"/>
        <v>46.7</v>
      </c>
      <c r="I55" s="8"/>
      <c r="AB55" s="36"/>
      <c r="AC55" s="8"/>
      <c r="AG55"/>
    </row>
    <row r="56" spans="1:33" ht="18" customHeight="1" x14ac:dyDescent="0.3">
      <c r="A56" s="5">
        <f t="shared" si="2"/>
        <v>54</v>
      </c>
      <c r="B56" s="83"/>
      <c r="C56" s="74" t="s">
        <v>117</v>
      </c>
      <c r="D56" s="74" t="s">
        <v>183</v>
      </c>
      <c r="E56" s="22">
        <v>1</v>
      </c>
      <c r="F56" s="72">
        <v>7002</v>
      </c>
      <c r="G56" s="73">
        <v>46.7</v>
      </c>
      <c r="H56" s="72">
        <f t="shared" si="9"/>
        <v>46.7</v>
      </c>
      <c r="I56" s="8"/>
      <c r="AB56" s="36"/>
      <c r="AC56" s="8"/>
      <c r="AG56"/>
    </row>
    <row r="57" spans="1:33" ht="18" customHeight="1" x14ac:dyDescent="0.3">
      <c r="A57" s="5">
        <f t="shared" si="2"/>
        <v>55</v>
      </c>
      <c r="B57" s="83"/>
      <c r="C57" s="74" t="s">
        <v>118</v>
      </c>
      <c r="D57" s="74" t="s">
        <v>184</v>
      </c>
      <c r="E57" s="22">
        <v>1</v>
      </c>
      <c r="F57" s="72">
        <v>7011</v>
      </c>
      <c r="G57" s="73">
        <v>46.8</v>
      </c>
      <c r="H57" s="72">
        <f t="shared" si="9"/>
        <v>46.8</v>
      </c>
      <c r="I57" s="8"/>
      <c r="AB57" s="36"/>
      <c r="AC57" s="8"/>
      <c r="AG57"/>
    </row>
    <row r="58" spans="1:33" ht="18" customHeight="1" x14ac:dyDescent="0.3">
      <c r="A58" s="5">
        <f t="shared" si="2"/>
        <v>56</v>
      </c>
      <c r="B58" s="83"/>
      <c r="C58" s="74" t="s">
        <v>119</v>
      </c>
      <c r="D58" s="74" t="s">
        <v>185</v>
      </c>
      <c r="E58" s="22">
        <v>1</v>
      </c>
      <c r="F58" s="72">
        <v>7020</v>
      </c>
      <c r="G58" s="73">
        <v>46.8</v>
      </c>
      <c r="H58" s="72">
        <f t="shared" si="9"/>
        <v>46.8</v>
      </c>
      <c r="I58" s="8"/>
      <c r="AB58" s="36"/>
      <c r="AC58" s="8"/>
      <c r="AG58"/>
    </row>
    <row r="59" spans="1:33" ht="18" customHeight="1" x14ac:dyDescent="0.3">
      <c r="A59" s="5">
        <f t="shared" si="2"/>
        <v>57</v>
      </c>
      <c r="B59" s="83"/>
      <c r="C59" s="74" t="s">
        <v>120</v>
      </c>
      <c r="D59" s="74" t="s">
        <v>186</v>
      </c>
      <c r="E59" s="22">
        <v>1</v>
      </c>
      <c r="F59" s="72">
        <v>7029</v>
      </c>
      <c r="G59" s="73">
        <v>46.9</v>
      </c>
      <c r="H59" s="72">
        <f t="shared" si="9"/>
        <v>46.9</v>
      </c>
      <c r="I59" s="8"/>
      <c r="AB59" s="36"/>
      <c r="AC59" s="8"/>
      <c r="AG59"/>
    </row>
    <row r="60" spans="1:33" ht="18" customHeight="1" x14ac:dyDescent="0.3">
      <c r="A60" s="5">
        <f t="shared" si="2"/>
        <v>58</v>
      </c>
      <c r="B60" s="83"/>
      <c r="C60" s="74" t="s">
        <v>121</v>
      </c>
      <c r="D60" s="74" t="s">
        <v>187</v>
      </c>
      <c r="E60" s="22">
        <v>1</v>
      </c>
      <c r="F60" s="72">
        <v>7038</v>
      </c>
      <c r="G60" s="73">
        <v>47</v>
      </c>
      <c r="H60" s="72">
        <f t="shared" si="9"/>
        <v>47</v>
      </c>
      <c r="I60" s="8"/>
      <c r="AB60" s="36"/>
      <c r="AC60" s="8"/>
      <c r="AG60"/>
    </row>
    <row r="61" spans="1:33" ht="18" customHeight="1" x14ac:dyDescent="0.3">
      <c r="A61" s="5">
        <f t="shared" si="2"/>
        <v>59</v>
      </c>
      <c r="B61" s="83"/>
      <c r="C61" s="74" t="s">
        <v>122</v>
      </c>
      <c r="D61" s="74" t="s">
        <v>188</v>
      </c>
      <c r="E61" s="22">
        <v>1</v>
      </c>
      <c r="F61" s="72">
        <v>7047</v>
      </c>
      <c r="G61" s="73">
        <v>47</v>
      </c>
      <c r="H61" s="72">
        <f t="shared" si="9"/>
        <v>47</v>
      </c>
      <c r="I61" s="8"/>
      <c r="AB61" s="36"/>
      <c r="AC61" s="8"/>
      <c r="AG61"/>
    </row>
    <row r="62" spans="1:33" ht="18" customHeight="1" x14ac:dyDescent="0.3">
      <c r="A62" s="5">
        <f t="shared" si="2"/>
        <v>60</v>
      </c>
      <c r="B62" s="83"/>
      <c r="C62" s="74" t="s">
        <v>123</v>
      </c>
      <c r="D62" s="74" t="s">
        <v>189</v>
      </c>
      <c r="E62" s="22">
        <v>1</v>
      </c>
      <c r="F62" s="72">
        <v>7056</v>
      </c>
      <c r="G62" s="73">
        <v>47.1</v>
      </c>
      <c r="H62" s="72">
        <f t="shared" si="9"/>
        <v>47.1</v>
      </c>
      <c r="I62" s="8"/>
      <c r="AB62" s="36"/>
      <c r="AC62" s="8"/>
      <c r="AG62"/>
    </row>
    <row r="63" spans="1:33" ht="18" customHeight="1" x14ac:dyDescent="0.3">
      <c r="A63" s="5">
        <f t="shared" si="2"/>
        <v>61</v>
      </c>
      <c r="B63" s="83"/>
      <c r="C63" s="74" t="s">
        <v>124</v>
      </c>
      <c r="D63" s="74" t="s">
        <v>190</v>
      </c>
      <c r="E63" s="22">
        <v>7</v>
      </c>
      <c r="F63" s="72">
        <v>6003</v>
      </c>
      <c r="G63" s="73">
        <v>40.1</v>
      </c>
      <c r="H63" s="72">
        <f t="shared" si="9"/>
        <v>280.7</v>
      </c>
      <c r="I63" s="8"/>
      <c r="AB63" s="36"/>
      <c r="AC63" s="8"/>
      <c r="AG63"/>
    </row>
    <row r="64" spans="1:33" ht="18" customHeight="1" x14ac:dyDescent="0.3">
      <c r="A64" s="5">
        <f t="shared" si="2"/>
        <v>62</v>
      </c>
      <c r="B64" s="83"/>
      <c r="C64" s="74" t="s">
        <v>125</v>
      </c>
      <c r="D64" s="74" t="s">
        <v>191</v>
      </c>
      <c r="E64" s="22">
        <v>25</v>
      </c>
      <c r="F64" s="72">
        <v>5999</v>
      </c>
      <c r="G64" s="73">
        <v>40</v>
      </c>
      <c r="H64" s="72">
        <f t="shared" si="9"/>
        <v>1000</v>
      </c>
      <c r="I64" s="8"/>
      <c r="AB64" s="36"/>
      <c r="AC64" s="8"/>
      <c r="AG64"/>
    </row>
    <row r="65" spans="1:33" ht="18" customHeight="1" x14ac:dyDescent="0.3">
      <c r="A65" s="5">
        <f t="shared" si="2"/>
        <v>63</v>
      </c>
      <c r="B65" s="83"/>
      <c r="C65" s="74" t="s">
        <v>126</v>
      </c>
      <c r="D65" s="74" t="s">
        <v>192</v>
      </c>
      <c r="E65" s="22">
        <v>22</v>
      </c>
      <c r="F65" s="72">
        <v>5994</v>
      </c>
      <c r="G65" s="73">
        <v>40</v>
      </c>
      <c r="H65" s="72">
        <f t="shared" si="9"/>
        <v>880</v>
      </c>
      <c r="I65" s="8"/>
      <c r="AB65" s="36"/>
      <c r="AC65" s="8"/>
      <c r="AG65"/>
    </row>
    <row r="66" spans="1:33" ht="18" customHeight="1" x14ac:dyDescent="0.3">
      <c r="A66" s="5">
        <f t="shared" si="2"/>
        <v>64</v>
      </c>
      <c r="B66" s="83"/>
      <c r="C66" s="74" t="s">
        <v>127</v>
      </c>
      <c r="D66" s="74" t="s">
        <v>193</v>
      </c>
      <c r="E66" s="22">
        <v>11</v>
      </c>
      <c r="F66" s="72">
        <v>5991</v>
      </c>
      <c r="G66" s="73">
        <v>40</v>
      </c>
      <c r="H66" s="72">
        <f t="shared" si="9"/>
        <v>440</v>
      </c>
      <c r="I66" s="8"/>
      <c r="AB66" s="36"/>
      <c r="AC66" s="8"/>
      <c r="AG66"/>
    </row>
    <row r="67" spans="1:33" ht="18" customHeight="1" x14ac:dyDescent="0.3">
      <c r="A67" s="5">
        <f t="shared" si="2"/>
        <v>65</v>
      </c>
      <c r="B67" s="83"/>
      <c r="C67" s="74" t="s">
        <v>128</v>
      </c>
      <c r="D67" s="74" t="s">
        <v>194</v>
      </c>
      <c r="E67" s="22">
        <v>18</v>
      </c>
      <c r="F67" s="72">
        <v>5985</v>
      </c>
      <c r="G67" s="73">
        <v>39.9</v>
      </c>
      <c r="H67" s="72">
        <f t="shared" si="9"/>
        <v>718.19999999999993</v>
      </c>
      <c r="I67" s="8"/>
      <c r="AB67" s="36"/>
      <c r="AC67" s="8"/>
      <c r="AG67"/>
    </row>
    <row r="68" spans="1:33" ht="18" customHeight="1" x14ac:dyDescent="0.3">
      <c r="A68" s="5">
        <f t="shared" ref="A68:A107" si="10">A67+1</f>
        <v>66</v>
      </c>
      <c r="B68" s="83"/>
      <c r="C68" s="74" t="s">
        <v>129</v>
      </c>
      <c r="D68" s="74" t="s">
        <v>195</v>
      </c>
      <c r="E68" s="22">
        <v>5</v>
      </c>
      <c r="F68" s="72">
        <v>5982</v>
      </c>
      <c r="G68" s="73">
        <v>39.9</v>
      </c>
      <c r="H68" s="72">
        <f t="shared" si="9"/>
        <v>199.5</v>
      </c>
      <c r="I68" s="8"/>
      <c r="AB68" s="36"/>
      <c r="AC68" s="8"/>
      <c r="AG68"/>
    </row>
    <row r="69" spans="1:33" ht="18" customHeight="1" x14ac:dyDescent="0.3">
      <c r="A69" s="5">
        <f t="shared" si="10"/>
        <v>67</v>
      </c>
      <c r="B69" s="83"/>
      <c r="C69" s="74" t="s">
        <v>130</v>
      </c>
      <c r="D69" s="74" t="s">
        <v>196</v>
      </c>
      <c r="E69" s="22">
        <v>14</v>
      </c>
      <c r="F69" s="72">
        <v>5977</v>
      </c>
      <c r="G69" s="73">
        <v>39.9</v>
      </c>
      <c r="H69" s="72">
        <f t="shared" si="9"/>
        <v>558.6</v>
      </c>
      <c r="I69" s="8"/>
      <c r="AB69" s="36"/>
      <c r="AC69" s="8"/>
      <c r="AG69"/>
    </row>
    <row r="70" spans="1:33" ht="18" customHeight="1" x14ac:dyDescent="0.3">
      <c r="A70" s="5">
        <f t="shared" si="10"/>
        <v>68</v>
      </c>
      <c r="B70" s="83"/>
      <c r="C70" s="74" t="s">
        <v>131</v>
      </c>
      <c r="D70" s="74" t="s">
        <v>197</v>
      </c>
      <c r="E70" s="22">
        <v>16</v>
      </c>
      <c r="F70" s="72">
        <v>5976</v>
      </c>
      <c r="G70" s="73">
        <v>39.9</v>
      </c>
      <c r="H70" s="72">
        <f t="shared" si="9"/>
        <v>638.4</v>
      </c>
      <c r="I70" s="8"/>
      <c r="AB70" s="36"/>
      <c r="AC70" s="8"/>
      <c r="AG70"/>
    </row>
    <row r="71" spans="1:33" ht="18" customHeight="1" x14ac:dyDescent="0.3">
      <c r="A71" s="5">
        <f t="shared" si="10"/>
        <v>69</v>
      </c>
      <c r="B71" s="83"/>
      <c r="C71" s="74" t="s">
        <v>132</v>
      </c>
      <c r="D71" s="74" t="s">
        <v>198</v>
      </c>
      <c r="E71" s="22">
        <v>7</v>
      </c>
      <c r="F71" s="72">
        <v>5965</v>
      </c>
      <c r="G71" s="73">
        <v>39.799999999999997</v>
      </c>
      <c r="H71" s="72">
        <f t="shared" si="9"/>
        <v>278.59999999999997</v>
      </c>
      <c r="I71" s="8"/>
      <c r="AB71" s="36"/>
      <c r="AC71" s="8"/>
      <c r="AG71"/>
    </row>
    <row r="72" spans="1:33" ht="18" customHeight="1" x14ac:dyDescent="0.3">
      <c r="A72" s="5">
        <f t="shared" si="10"/>
        <v>70</v>
      </c>
      <c r="B72" s="83"/>
      <c r="C72" s="74" t="s">
        <v>133</v>
      </c>
      <c r="D72" s="74" t="s">
        <v>199</v>
      </c>
      <c r="E72" s="22">
        <v>6</v>
      </c>
      <c r="F72" s="72">
        <v>5960</v>
      </c>
      <c r="G72" s="73">
        <v>39.799999999999997</v>
      </c>
      <c r="H72" s="72">
        <f t="shared" si="9"/>
        <v>238.79999999999998</v>
      </c>
      <c r="I72" s="8"/>
      <c r="AB72" s="36"/>
      <c r="AC72" s="8"/>
      <c r="AG72"/>
    </row>
    <row r="73" spans="1:33" ht="18" customHeight="1" x14ac:dyDescent="0.3">
      <c r="A73" s="5">
        <f t="shared" si="10"/>
        <v>71</v>
      </c>
      <c r="B73" s="83"/>
      <c r="C73" s="74" t="s">
        <v>134</v>
      </c>
      <c r="D73" s="74" t="s">
        <v>200</v>
      </c>
      <c r="E73" s="22">
        <v>7</v>
      </c>
      <c r="F73" s="72">
        <v>5955</v>
      </c>
      <c r="G73" s="73">
        <v>39.700000000000003</v>
      </c>
      <c r="H73" s="72">
        <f t="shared" si="9"/>
        <v>277.90000000000003</v>
      </c>
      <c r="I73" s="8"/>
      <c r="AB73" s="36"/>
      <c r="AC73" s="8"/>
      <c r="AG73"/>
    </row>
    <row r="74" spans="1:33" ht="18" customHeight="1" x14ac:dyDescent="0.3">
      <c r="A74" s="5">
        <f t="shared" si="10"/>
        <v>72</v>
      </c>
      <c r="B74" s="83"/>
      <c r="C74" s="74" t="s">
        <v>135</v>
      </c>
      <c r="D74" s="74" t="s">
        <v>201</v>
      </c>
      <c r="E74" s="22">
        <v>6</v>
      </c>
      <c r="F74" s="72">
        <v>5953</v>
      </c>
      <c r="G74" s="73">
        <v>39.700000000000003</v>
      </c>
      <c r="H74" s="72">
        <f t="shared" si="9"/>
        <v>238.20000000000002</v>
      </c>
      <c r="I74" s="8"/>
      <c r="AB74" s="36"/>
      <c r="AC74" s="8"/>
      <c r="AG74"/>
    </row>
    <row r="75" spans="1:33" ht="18" customHeight="1" x14ac:dyDescent="0.3">
      <c r="A75" s="5">
        <f t="shared" si="10"/>
        <v>73</v>
      </c>
      <c r="B75" s="83"/>
      <c r="C75" s="74" t="s">
        <v>136</v>
      </c>
      <c r="D75" s="74" t="s">
        <v>202</v>
      </c>
      <c r="E75" s="22">
        <v>2</v>
      </c>
      <c r="F75" s="72">
        <v>5948</v>
      </c>
      <c r="G75" s="73">
        <v>39.700000000000003</v>
      </c>
      <c r="H75" s="72">
        <f t="shared" si="9"/>
        <v>79.400000000000006</v>
      </c>
      <c r="I75" s="8"/>
      <c r="AB75" s="36"/>
      <c r="AC75" s="8"/>
      <c r="AG75"/>
    </row>
    <row r="76" spans="1:33" ht="18" customHeight="1" x14ac:dyDescent="0.3">
      <c r="A76" s="5">
        <f t="shared" si="10"/>
        <v>74</v>
      </c>
      <c r="B76" s="83"/>
      <c r="C76" s="74" t="s">
        <v>137</v>
      </c>
      <c r="D76" s="74" t="s">
        <v>203</v>
      </c>
      <c r="E76" s="22">
        <v>2</v>
      </c>
      <c r="F76" s="72">
        <v>5970</v>
      </c>
      <c r="G76" s="73">
        <v>39.799999999999997</v>
      </c>
      <c r="H76" s="72">
        <f t="shared" si="9"/>
        <v>79.599999999999994</v>
      </c>
      <c r="I76" s="8"/>
      <c r="AB76" s="36"/>
      <c r="AC76" s="8"/>
      <c r="AG76"/>
    </row>
    <row r="77" spans="1:33" ht="18" customHeight="1" x14ac:dyDescent="0.3">
      <c r="A77" s="5">
        <f t="shared" si="10"/>
        <v>75</v>
      </c>
      <c r="B77" s="83"/>
      <c r="C77" s="74" t="s">
        <v>138</v>
      </c>
      <c r="D77" s="74" t="s">
        <v>204</v>
      </c>
      <c r="E77" s="22">
        <v>1</v>
      </c>
      <c r="F77" s="72">
        <v>6010</v>
      </c>
      <c r="G77" s="73">
        <v>40.1</v>
      </c>
      <c r="H77" s="72">
        <f t="shared" si="9"/>
        <v>40.1</v>
      </c>
      <c r="I77" s="8"/>
      <c r="AB77" s="36"/>
      <c r="AC77" s="8"/>
      <c r="AG77"/>
    </row>
    <row r="78" spans="1:33" ht="18" customHeight="1" x14ac:dyDescent="0.3">
      <c r="A78" s="5">
        <f t="shared" si="10"/>
        <v>76</v>
      </c>
      <c r="B78" s="83"/>
      <c r="C78" s="74" t="s">
        <v>139</v>
      </c>
      <c r="D78" s="74" t="s">
        <v>205</v>
      </c>
      <c r="E78" s="22">
        <v>1</v>
      </c>
      <c r="F78" s="72">
        <v>6017</v>
      </c>
      <c r="G78" s="73">
        <v>40.200000000000003</v>
      </c>
      <c r="H78" s="72">
        <f t="shared" si="9"/>
        <v>40.200000000000003</v>
      </c>
      <c r="I78" s="8"/>
      <c r="AB78" s="36"/>
      <c r="AC78" s="8"/>
      <c r="AG78"/>
    </row>
    <row r="79" spans="1:33" ht="18" customHeight="1" x14ac:dyDescent="0.3">
      <c r="A79" s="5">
        <f t="shared" si="10"/>
        <v>77</v>
      </c>
      <c r="B79" s="83"/>
      <c r="C79" s="74" t="s">
        <v>140</v>
      </c>
      <c r="D79" s="74" t="s">
        <v>206</v>
      </c>
      <c r="E79" s="22">
        <v>1</v>
      </c>
      <c r="F79" s="72">
        <v>6024</v>
      </c>
      <c r="G79" s="73">
        <v>40.200000000000003</v>
      </c>
      <c r="H79" s="72">
        <f t="shared" si="9"/>
        <v>40.200000000000003</v>
      </c>
      <c r="I79" s="8"/>
      <c r="AB79" s="36"/>
      <c r="AC79" s="8"/>
      <c r="AG79"/>
    </row>
    <row r="80" spans="1:33" ht="18" customHeight="1" x14ac:dyDescent="0.3">
      <c r="A80" s="5">
        <f t="shared" si="10"/>
        <v>78</v>
      </c>
      <c r="B80" s="83"/>
      <c r="C80" s="74" t="s">
        <v>141</v>
      </c>
      <c r="D80" s="74" t="s">
        <v>207</v>
      </c>
      <c r="E80" s="22">
        <v>1</v>
      </c>
      <c r="F80" s="72">
        <v>6031</v>
      </c>
      <c r="G80" s="73">
        <v>40.200000000000003</v>
      </c>
      <c r="H80" s="72">
        <f t="shared" si="9"/>
        <v>40.200000000000003</v>
      </c>
      <c r="I80" s="8"/>
      <c r="AB80" s="36"/>
      <c r="AC80" s="8"/>
      <c r="AG80"/>
    </row>
    <row r="81" spans="1:33" ht="18" customHeight="1" x14ac:dyDescent="0.3">
      <c r="A81" s="5">
        <f t="shared" si="10"/>
        <v>79</v>
      </c>
      <c r="B81" s="83"/>
      <c r="C81" s="74" t="s">
        <v>142</v>
      </c>
      <c r="D81" s="74" t="s">
        <v>208</v>
      </c>
      <c r="E81" s="22">
        <v>1</v>
      </c>
      <c r="F81" s="72">
        <v>6038</v>
      </c>
      <c r="G81" s="73">
        <v>40.299999999999997</v>
      </c>
      <c r="H81" s="72">
        <f t="shared" si="9"/>
        <v>40.299999999999997</v>
      </c>
      <c r="I81" s="8"/>
      <c r="AB81" s="36"/>
      <c r="AC81" s="8"/>
      <c r="AG81"/>
    </row>
    <row r="82" spans="1:33" ht="18" customHeight="1" x14ac:dyDescent="0.3">
      <c r="A82" s="5">
        <f t="shared" si="10"/>
        <v>80</v>
      </c>
      <c r="B82" s="83"/>
      <c r="C82" s="74" t="s">
        <v>143</v>
      </c>
      <c r="D82" s="74" t="s">
        <v>209</v>
      </c>
      <c r="E82" s="22">
        <v>1</v>
      </c>
      <c r="F82" s="72">
        <v>6045</v>
      </c>
      <c r="G82" s="73">
        <v>40.299999999999997</v>
      </c>
      <c r="H82" s="72">
        <f t="shared" si="9"/>
        <v>40.299999999999997</v>
      </c>
      <c r="I82" s="8"/>
      <c r="AB82" s="36"/>
      <c r="AC82" s="8"/>
      <c r="AG82"/>
    </row>
    <row r="83" spans="1:33" ht="18" customHeight="1" x14ac:dyDescent="0.3">
      <c r="A83" s="5">
        <f t="shared" si="10"/>
        <v>81</v>
      </c>
      <c r="B83" s="83"/>
      <c r="C83" s="74" t="s">
        <v>144</v>
      </c>
      <c r="D83" s="74" t="s">
        <v>210</v>
      </c>
      <c r="E83" s="22">
        <v>1</v>
      </c>
      <c r="F83" s="72">
        <v>6052</v>
      </c>
      <c r="G83" s="73">
        <v>40.4</v>
      </c>
      <c r="H83" s="72">
        <f t="shared" si="9"/>
        <v>40.4</v>
      </c>
      <c r="I83" s="8"/>
      <c r="AB83" s="36"/>
      <c r="AC83" s="8"/>
      <c r="AG83"/>
    </row>
    <row r="84" spans="1:33" ht="18" customHeight="1" x14ac:dyDescent="0.3">
      <c r="A84" s="5">
        <f t="shared" si="10"/>
        <v>82</v>
      </c>
      <c r="B84" s="83"/>
      <c r="C84" s="74" t="s">
        <v>145</v>
      </c>
      <c r="D84" s="74" t="s">
        <v>211</v>
      </c>
      <c r="E84" s="22">
        <v>1</v>
      </c>
      <c r="F84" s="72">
        <v>6058</v>
      </c>
      <c r="G84" s="73">
        <v>40.4</v>
      </c>
      <c r="H84" s="72">
        <f t="shared" si="9"/>
        <v>40.4</v>
      </c>
      <c r="AC84" s="8"/>
      <c r="AG84"/>
    </row>
    <row r="85" spans="1:33" ht="18" customHeight="1" x14ac:dyDescent="0.3">
      <c r="A85" s="5">
        <f t="shared" si="10"/>
        <v>83</v>
      </c>
      <c r="B85" s="83"/>
      <c r="C85" s="74" t="s">
        <v>146</v>
      </c>
      <c r="D85" s="74" t="s">
        <v>212</v>
      </c>
      <c r="E85" s="22">
        <v>1</v>
      </c>
      <c r="F85" s="72">
        <v>6065</v>
      </c>
      <c r="G85" s="73">
        <v>40.5</v>
      </c>
      <c r="H85" s="72">
        <f t="shared" si="9"/>
        <v>40.5</v>
      </c>
    </row>
    <row r="86" spans="1:33" ht="18" customHeight="1" x14ac:dyDescent="0.3">
      <c r="A86" s="5">
        <f t="shared" si="10"/>
        <v>84</v>
      </c>
      <c r="B86" s="83"/>
      <c r="C86" s="74" t="s">
        <v>147</v>
      </c>
      <c r="D86" s="74" t="s">
        <v>213</v>
      </c>
      <c r="E86" s="22">
        <v>2</v>
      </c>
      <c r="F86" s="72">
        <v>6075</v>
      </c>
      <c r="G86" s="73">
        <v>40.5</v>
      </c>
      <c r="H86" s="72">
        <f t="shared" si="9"/>
        <v>81</v>
      </c>
    </row>
    <row r="87" spans="1:33" ht="18" customHeight="1" x14ac:dyDescent="0.3">
      <c r="A87" s="5">
        <f t="shared" si="10"/>
        <v>85</v>
      </c>
      <c r="B87" s="83"/>
      <c r="C87" s="74" t="s">
        <v>148</v>
      </c>
      <c r="D87" s="74" t="s">
        <v>214</v>
      </c>
      <c r="E87" s="22">
        <v>1</v>
      </c>
      <c r="F87" s="72">
        <v>6082</v>
      </c>
      <c r="G87" s="73">
        <v>40.6</v>
      </c>
      <c r="H87" s="72">
        <f t="shared" si="9"/>
        <v>40.6</v>
      </c>
    </row>
    <row r="88" spans="1:33" ht="18" customHeight="1" x14ac:dyDescent="0.3">
      <c r="A88" s="5">
        <f t="shared" si="10"/>
        <v>86</v>
      </c>
      <c r="B88" s="83"/>
      <c r="C88" s="74" t="s">
        <v>149</v>
      </c>
      <c r="D88" s="74" t="s">
        <v>215</v>
      </c>
      <c r="E88" s="22">
        <v>1</v>
      </c>
      <c r="F88" s="72">
        <v>6089</v>
      </c>
      <c r="G88" s="73">
        <v>40.6</v>
      </c>
      <c r="H88" s="72">
        <f t="shared" si="9"/>
        <v>40.6</v>
      </c>
    </row>
    <row r="89" spans="1:33" ht="18" customHeight="1" x14ac:dyDescent="0.3">
      <c r="A89" s="5">
        <f t="shared" si="10"/>
        <v>87</v>
      </c>
      <c r="B89" s="83"/>
      <c r="C89" s="74" t="s">
        <v>150</v>
      </c>
      <c r="D89" s="74" t="s">
        <v>216</v>
      </c>
      <c r="E89" s="22">
        <v>1</v>
      </c>
      <c r="F89" s="72">
        <v>6095</v>
      </c>
      <c r="G89" s="73">
        <v>40.700000000000003</v>
      </c>
      <c r="H89" s="72">
        <f t="shared" si="9"/>
        <v>40.700000000000003</v>
      </c>
    </row>
    <row r="90" spans="1:33" ht="18" customHeight="1" x14ac:dyDescent="0.3">
      <c r="A90" s="5">
        <f t="shared" si="10"/>
        <v>88</v>
      </c>
      <c r="B90" s="83"/>
      <c r="C90" s="74" t="s">
        <v>151</v>
      </c>
      <c r="D90" s="74" t="s">
        <v>217</v>
      </c>
      <c r="E90" s="22">
        <v>1</v>
      </c>
      <c r="F90" s="72">
        <v>6102</v>
      </c>
      <c r="G90" s="73">
        <v>40.700000000000003</v>
      </c>
      <c r="H90" s="72">
        <f t="shared" si="9"/>
        <v>40.700000000000003</v>
      </c>
    </row>
    <row r="91" spans="1:33" ht="18" customHeight="1" x14ac:dyDescent="0.3">
      <c r="A91" s="5">
        <f t="shared" si="10"/>
        <v>89</v>
      </c>
      <c r="B91" s="83"/>
      <c r="C91" s="74" t="s">
        <v>152</v>
      </c>
      <c r="D91" s="74" t="s">
        <v>218</v>
      </c>
      <c r="E91" s="22">
        <v>1</v>
      </c>
      <c r="F91" s="72">
        <v>6109</v>
      </c>
      <c r="G91" s="73">
        <v>40.799999999999997</v>
      </c>
      <c r="H91" s="72">
        <f t="shared" si="9"/>
        <v>40.799999999999997</v>
      </c>
    </row>
    <row r="92" spans="1:33" ht="18" customHeight="1" x14ac:dyDescent="0.3">
      <c r="A92" s="5">
        <f t="shared" si="10"/>
        <v>90</v>
      </c>
      <c r="B92" s="83"/>
      <c r="C92" s="74" t="s">
        <v>153</v>
      </c>
      <c r="D92" s="74" t="s">
        <v>219</v>
      </c>
      <c r="E92" s="22">
        <v>1</v>
      </c>
      <c r="F92" s="72">
        <v>6116</v>
      </c>
      <c r="G92" s="73">
        <v>40.799999999999997</v>
      </c>
      <c r="H92" s="72">
        <f t="shared" si="9"/>
        <v>40.799999999999997</v>
      </c>
    </row>
    <row r="93" spans="1:33" ht="18" customHeight="1" x14ac:dyDescent="0.3">
      <c r="A93" s="5">
        <f t="shared" si="10"/>
        <v>91</v>
      </c>
      <c r="B93" s="83"/>
      <c r="C93" s="74" t="s">
        <v>154</v>
      </c>
      <c r="D93" s="74" t="s">
        <v>220</v>
      </c>
      <c r="E93" s="22">
        <v>1</v>
      </c>
      <c r="F93" s="72">
        <v>6123</v>
      </c>
      <c r="G93" s="73">
        <v>40.9</v>
      </c>
      <c r="H93" s="72">
        <f t="shared" si="9"/>
        <v>40.9</v>
      </c>
    </row>
    <row r="94" spans="1:33" ht="18" customHeight="1" x14ac:dyDescent="0.3">
      <c r="A94" s="5">
        <f t="shared" si="10"/>
        <v>92</v>
      </c>
      <c r="B94" s="83"/>
      <c r="C94" s="74" t="s">
        <v>155</v>
      </c>
      <c r="D94" s="74" t="s">
        <v>221</v>
      </c>
      <c r="E94" s="22">
        <v>1</v>
      </c>
      <c r="F94" s="72">
        <v>6130</v>
      </c>
      <c r="G94" s="73">
        <v>40.9</v>
      </c>
      <c r="H94" s="72">
        <f t="shared" si="9"/>
        <v>40.9</v>
      </c>
    </row>
    <row r="95" spans="1:33" ht="18" customHeight="1" x14ac:dyDescent="0.3">
      <c r="A95" s="5">
        <f t="shared" si="10"/>
        <v>93</v>
      </c>
      <c r="B95" s="83"/>
      <c r="C95" s="74" t="s">
        <v>156</v>
      </c>
      <c r="D95" s="74" t="s">
        <v>222</v>
      </c>
      <c r="E95" s="22">
        <v>1</v>
      </c>
      <c r="F95" s="72">
        <v>6005</v>
      </c>
      <c r="G95" s="73">
        <v>40.1</v>
      </c>
      <c r="H95" s="72">
        <f t="shared" si="9"/>
        <v>40.1</v>
      </c>
    </row>
    <row r="96" spans="1:33" ht="18" customHeight="1" x14ac:dyDescent="0.3">
      <c r="A96" s="5">
        <f t="shared" si="10"/>
        <v>94</v>
      </c>
      <c r="B96" s="83"/>
      <c r="C96" s="74" t="s">
        <v>157</v>
      </c>
      <c r="D96" s="74" t="s">
        <v>223</v>
      </c>
      <c r="E96" s="22">
        <v>1</v>
      </c>
      <c r="F96" s="72">
        <v>5947</v>
      </c>
      <c r="G96" s="73">
        <v>39.700000000000003</v>
      </c>
      <c r="H96" s="72">
        <f t="shared" si="9"/>
        <v>39.700000000000003</v>
      </c>
    </row>
    <row r="97" spans="1:8" ht="18" customHeight="1" x14ac:dyDescent="0.3">
      <c r="A97" s="5">
        <f t="shared" si="10"/>
        <v>95</v>
      </c>
      <c r="B97" s="83"/>
      <c r="C97" s="74" t="s">
        <v>158</v>
      </c>
      <c r="D97" s="74" t="s">
        <v>224</v>
      </c>
      <c r="E97" s="22">
        <v>1</v>
      </c>
      <c r="F97" s="72">
        <v>5943</v>
      </c>
      <c r="G97" s="73">
        <v>39.700000000000003</v>
      </c>
      <c r="H97" s="72">
        <f t="shared" si="9"/>
        <v>39.700000000000003</v>
      </c>
    </row>
    <row r="98" spans="1:8" ht="18" customHeight="1" x14ac:dyDescent="0.3">
      <c r="A98" s="5">
        <f t="shared" si="10"/>
        <v>96</v>
      </c>
      <c r="B98" s="83"/>
      <c r="C98" s="74" t="s">
        <v>159</v>
      </c>
      <c r="D98" s="74" t="s">
        <v>225</v>
      </c>
      <c r="E98" s="22">
        <v>1</v>
      </c>
      <c r="F98" s="72">
        <v>5938</v>
      </c>
      <c r="G98" s="73">
        <v>39.6</v>
      </c>
      <c r="H98" s="72">
        <f t="shared" si="9"/>
        <v>39.6</v>
      </c>
    </row>
    <row r="99" spans="1:8" ht="18" customHeight="1" x14ac:dyDescent="0.3">
      <c r="A99" s="5">
        <f t="shared" si="10"/>
        <v>97</v>
      </c>
      <c r="B99" s="83"/>
      <c r="C99" s="74" t="s">
        <v>160</v>
      </c>
      <c r="D99" s="74" t="s">
        <v>226</v>
      </c>
      <c r="E99" s="22">
        <v>1</v>
      </c>
      <c r="F99" s="72">
        <v>5934</v>
      </c>
      <c r="G99" s="73">
        <v>39.6</v>
      </c>
      <c r="H99" s="72">
        <f t="shared" si="9"/>
        <v>39.6</v>
      </c>
    </row>
    <row r="100" spans="1:8" ht="18" customHeight="1" x14ac:dyDescent="0.3">
      <c r="A100" s="5">
        <f t="shared" si="10"/>
        <v>98</v>
      </c>
      <c r="B100" s="83"/>
      <c r="C100" s="74" t="s">
        <v>161</v>
      </c>
      <c r="D100" s="74" t="s">
        <v>227</v>
      </c>
      <c r="E100" s="22">
        <v>1</v>
      </c>
      <c r="F100" s="72">
        <v>5929</v>
      </c>
      <c r="G100" s="73">
        <v>39.6</v>
      </c>
      <c r="H100" s="72">
        <f t="shared" si="9"/>
        <v>39.6</v>
      </c>
    </row>
    <row r="101" spans="1:8" ht="18" customHeight="1" x14ac:dyDescent="0.3">
      <c r="A101" s="5">
        <f t="shared" si="10"/>
        <v>99</v>
      </c>
      <c r="B101" s="83"/>
      <c r="C101" s="74" t="s">
        <v>162</v>
      </c>
      <c r="D101" s="74" t="s">
        <v>228</v>
      </c>
      <c r="E101" s="22">
        <v>1</v>
      </c>
      <c r="F101" s="72">
        <v>5925</v>
      </c>
      <c r="G101" s="73">
        <v>39.5</v>
      </c>
      <c r="H101" s="72">
        <f t="shared" si="9"/>
        <v>39.5</v>
      </c>
    </row>
    <row r="102" spans="1:8" ht="18" customHeight="1" x14ac:dyDescent="0.3">
      <c r="A102" s="5">
        <f t="shared" si="10"/>
        <v>100</v>
      </c>
      <c r="B102" s="83"/>
      <c r="C102" s="74" t="s">
        <v>163</v>
      </c>
      <c r="D102" s="74" t="s">
        <v>229</v>
      </c>
      <c r="E102" s="22">
        <v>1</v>
      </c>
      <c r="F102" s="72">
        <v>5921</v>
      </c>
      <c r="G102" s="73">
        <v>39.5</v>
      </c>
      <c r="H102" s="72">
        <f t="shared" si="9"/>
        <v>39.5</v>
      </c>
    </row>
    <row r="103" spans="1:8" ht="18" customHeight="1" x14ac:dyDescent="0.3">
      <c r="A103" s="5">
        <f t="shared" si="10"/>
        <v>101</v>
      </c>
      <c r="B103" s="83"/>
      <c r="C103" s="74" t="s">
        <v>164</v>
      </c>
      <c r="D103" s="74" t="s">
        <v>230</v>
      </c>
      <c r="E103" s="22">
        <v>1</v>
      </c>
      <c r="F103" s="72">
        <v>5916</v>
      </c>
      <c r="G103" s="73">
        <v>39.5</v>
      </c>
      <c r="H103" s="72">
        <f t="shared" si="9"/>
        <v>39.5</v>
      </c>
    </row>
    <row r="104" spans="1:8" ht="18" customHeight="1" x14ac:dyDescent="0.3">
      <c r="A104" s="5">
        <f t="shared" si="10"/>
        <v>102</v>
      </c>
      <c r="B104" s="83"/>
      <c r="C104" s="74" t="s">
        <v>165</v>
      </c>
      <c r="D104" s="74" t="s">
        <v>231</v>
      </c>
      <c r="E104" s="22">
        <v>6</v>
      </c>
      <c r="F104" s="72">
        <v>7001</v>
      </c>
      <c r="G104" s="73">
        <v>46.7</v>
      </c>
      <c r="H104" s="72">
        <f t="shared" si="9"/>
        <v>280.20000000000005</v>
      </c>
    </row>
    <row r="105" spans="1:8" ht="18" customHeight="1" x14ac:dyDescent="0.3">
      <c r="A105" s="5">
        <f t="shared" si="10"/>
        <v>103</v>
      </c>
      <c r="B105" s="83"/>
      <c r="C105" s="74" t="s">
        <v>166</v>
      </c>
      <c r="D105" s="74" t="s">
        <v>232</v>
      </c>
      <c r="E105" s="22">
        <v>7</v>
      </c>
      <c r="F105" s="72">
        <v>6998</v>
      </c>
      <c r="G105" s="73">
        <v>46.7</v>
      </c>
      <c r="H105" s="72">
        <f t="shared" si="9"/>
        <v>326.90000000000003</v>
      </c>
    </row>
    <row r="106" spans="1:8" ht="18" customHeight="1" x14ac:dyDescent="0.3">
      <c r="A106" s="5">
        <f t="shared" si="10"/>
        <v>104</v>
      </c>
      <c r="B106" s="83"/>
      <c r="C106" s="74" t="s">
        <v>167</v>
      </c>
      <c r="D106" s="74" t="s">
        <v>233</v>
      </c>
      <c r="E106" s="22">
        <v>7</v>
      </c>
      <c r="F106" s="72">
        <v>6992</v>
      </c>
      <c r="G106" s="73">
        <v>46.7</v>
      </c>
      <c r="H106" s="72">
        <f t="shared" si="9"/>
        <v>326.90000000000003</v>
      </c>
    </row>
    <row r="107" spans="1:8" ht="18" customHeight="1" x14ac:dyDescent="0.3">
      <c r="A107" s="5">
        <f t="shared" si="10"/>
        <v>105</v>
      </c>
      <c r="B107" s="83"/>
      <c r="C107" s="74" t="s">
        <v>168</v>
      </c>
      <c r="D107" s="74" t="s">
        <v>234</v>
      </c>
      <c r="E107" s="22">
        <v>2</v>
      </c>
      <c r="F107" s="72">
        <v>6991</v>
      </c>
      <c r="G107" s="73">
        <v>46.6</v>
      </c>
      <c r="H107" s="72">
        <f t="shared" ref="H107" si="11">G107*E107</f>
        <v>93.2</v>
      </c>
    </row>
    <row r="108" spans="1:8" ht="18" customHeight="1" x14ac:dyDescent="0.3">
      <c r="C108" s="2"/>
      <c r="D108" s="1"/>
      <c r="H108" s="79">
        <f>SUM(H3:H107)*1.02</f>
        <v>37866.989999999991</v>
      </c>
    </row>
    <row r="109" spans="1:8" ht="18" customHeight="1" x14ac:dyDescent="0.3">
      <c r="C109" s="2"/>
      <c r="D109" s="1"/>
      <c r="H109"/>
    </row>
    <row r="110" spans="1:8" ht="18" customHeight="1" x14ac:dyDescent="0.3">
      <c r="C110" s="2"/>
      <c r="D110" s="1"/>
      <c r="H110"/>
    </row>
    <row r="111" spans="1:8" ht="18" customHeight="1" x14ac:dyDescent="0.3">
      <c r="C111" s="2"/>
      <c r="D111" s="1"/>
      <c r="H111"/>
    </row>
    <row r="112" spans="1:8" ht="18" customHeight="1" x14ac:dyDescent="0.3">
      <c r="C112" s="2"/>
      <c r="D112" s="1"/>
      <c r="H112"/>
    </row>
    <row r="113" spans="3:8" ht="18" customHeight="1" x14ac:dyDescent="0.3">
      <c r="C113" s="2"/>
      <c r="D113" s="1"/>
      <c r="H113"/>
    </row>
    <row r="114" spans="3:8" ht="18" customHeight="1" x14ac:dyDescent="0.3">
      <c r="C114" s="2"/>
      <c r="D114" s="1"/>
      <c r="H114"/>
    </row>
    <row r="115" spans="3:8" x14ac:dyDescent="0.3">
      <c r="C115" s="2"/>
      <c r="D115" s="1"/>
      <c r="H115"/>
    </row>
    <row r="116" spans="3:8" x14ac:dyDescent="0.3">
      <c r="C116" s="2"/>
      <c r="D116" s="1"/>
      <c r="H116"/>
    </row>
  </sheetData>
  <mergeCells count="10">
    <mergeCell ref="B10:B22"/>
    <mergeCell ref="B25:B39"/>
    <mergeCell ref="B41:B107"/>
    <mergeCell ref="AC28:AG28"/>
    <mergeCell ref="A1:H1"/>
    <mergeCell ref="AC1:AG1"/>
    <mergeCell ref="P1:S1"/>
    <mergeCell ref="B23:B24"/>
    <mergeCell ref="B3:B5"/>
    <mergeCell ref="B6:B8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scale="65" fitToWidth="0" orientation="portrait" r:id="rId1"/>
  <rowBreaks count="1" manualBreakCount="1">
    <brk id="53" max="7" man="1"/>
  </rowBreaks>
  <colBreaks count="2" manualBreakCount="2">
    <brk id="8" max="1048575" man="1"/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Assembly list 1</vt:lpstr>
      <vt:lpstr>'Assembly list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Pardis</cp:lastModifiedBy>
  <cp:lastPrinted>2023-09-30T23:47:44Z</cp:lastPrinted>
  <dcterms:created xsi:type="dcterms:W3CDTF">2021-08-04T10:35:57Z</dcterms:created>
  <dcterms:modified xsi:type="dcterms:W3CDTF">2026-06-27T18:27:19Z</dcterms:modified>
</cp:coreProperties>
</file>