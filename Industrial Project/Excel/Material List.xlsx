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rdis\Desktop\Number of My Praject\Number of My Praject\SahebEkhtiyari\Excel\"/>
    </mc:Choice>
  </mc:AlternateContent>
  <xr:revisionPtr revIDLastSave="0" documentId="13_ncr:1_{B20C4872-085C-4169-9913-0B5E2DAF51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- Main" sheetId="10" r:id="rId1"/>
    <sheet name="Sheet 2" sheetId="11" r:id="rId2"/>
  </sheets>
  <definedNames>
    <definedName name="_xlnm.Print_Area" localSheetId="0">'Sheet 1- Main'!$A$1:$AF$22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1" l="1"/>
  <c r="P5" i="11"/>
  <c r="Y21" i="10"/>
  <c r="Y20" i="10"/>
  <c r="R20" i="10"/>
  <c r="S20" i="10" s="1"/>
  <c r="AE9" i="10" s="1"/>
  <c r="Y19" i="10"/>
  <c r="R19" i="10"/>
  <c r="S19" i="10" s="1"/>
  <c r="Y18" i="10"/>
  <c r="R18" i="10"/>
  <c r="S18" i="10" s="1"/>
  <c r="Y17" i="10"/>
  <c r="R17" i="10"/>
  <c r="S17" i="10" s="1"/>
  <c r="AE5" i="10" s="1"/>
  <c r="Y16" i="10"/>
  <c r="R16" i="10"/>
  <c r="S16" i="10" s="1"/>
  <c r="H16" i="10"/>
  <c r="I16" i="10" s="1"/>
  <c r="AD15" i="10"/>
  <c r="Y15" i="10"/>
  <c r="R15" i="10"/>
  <c r="S15" i="10" s="1"/>
  <c r="H15" i="10"/>
  <c r="I15" i="10" s="1"/>
  <c r="AE4" i="10" s="1"/>
  <c r="AD14" i="10"/>
  <c r="Y14" i="10"/>
  <c r="R14" i="10"/>
  <c r="S14" i="10" s="1"/>
  <c r="I14" i="10"/>
  <c r="H14" i="10"/>
  <c r="R13" i="10"/>
  <c r="S13" i="10" s="1"/>
  <c r="H13" i="10"/>
  <c r="I13" i="10" s="1"/>
  <c r="R12" i="10"/>
  <c r="S12" i="10" s="1"/>
  <c r="H12" i="10"/>
  <c r="I12" i="10" s="1"/>
  <c r="S11" i="10"/>
  <c r="H11" i="10"/>
  <c r="I11" i="10" s="1"/>
  <c r="Z10" i="10"/>
  <c r="Z21" i="10" s="1"/>
  <c r="AA21" i="10" s="1"/>
  <c r="R10" i="10"/>
  <c r="S10" i="10" s="1"/>
  <c r="I10" i="10"/>
  <c r="AF15" i="10" s="1"/>
  <c r="H10" i="10"/>
  <c r="Z9" i="10"/>
  <c r="R9" i="10"/>
  <c r="S9" i="10" s="1"/>
  <c r="I9" i="10"/>
  <c r="H9" i="10"/>
  <c r="AE8" i="10"/>
  <c r="R8" i="10"/>
  <c r="S8" i="10" s="1"/>
  <c r="H8" i="10"/>
  <c r="I8" i="10" s="1"/>
  <c r="AE7" i="10"/>
  <c r="Z7" i="10"/>
  <c r="Z18" i="10" s="1"/>
  <c r="AA18" i="10" s="1"/>
  <c r="S7" i="10"/>
  <c r="H7" i="10"/>
  <c r="I7" i="10" s="1"/>
  <c r="P6" i="10"/>
  <c r="O6" i="10"/>
  <c r="S6" i="10" s="1"/>
  <c r="H6" i="10"/>
  <c r="I6" i="10" s="1"/>
  <c r="R5" i="10"/>
  <c r="O5" i="10"/>
  <c r="S5" i="10" s="1"/>
  <c r="H5" i="10"/>
  <c r="I5" i="10" s="1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M3" i="10" s="1"/>
  <c r="M4" i="10" s="1"/>
  <c r="M5" i="10" s="1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R4" i="10"/>
  <c r="S4" i="10" s="1"/>
  <c r="H4" i="10"/>
  <c r="I4" i="10" s="1"/>
  <c r="B4" i="10"/>
  <c r="R3" i="10"/>
  <c r="O3" i="10"/>
  <c r="S3" i="10" s="1"/>
  <c r="H3" i="10"/>
  <c r="I3" i="10" s="1"/>
  <c r="AE6" i="10" l="1"/>
  <c r="Z6" i="10"/>
  <c r="Z17" i="10" s="1"/>
  <c r="AA17" i="10" s="1"/>
  <c r="Z3" i="10"/>
  <c r="Z14" i="10" s="1"/>
  <c r="AA14" i="10" s="1"/>
  <c r="AA22" i="10" s="1"/>
  <c r="Z8" i="10"/>
  <c r="Z19" i="10" s="1"/>
  <c r="AA19" i="10" s="1"/>
  <c r="Z4" i="10"/>
  <c r="Z15" i="10" s="1"/>
  <c r="AA15" i="10" s="1"/>
  <c r="AE15" i="10"/>
  <c r="AF14" i="10"/>
  <c r="Z5" i="10"/>
  <c r="Z16" i="10" s="1"/>
  <c r="AA16" i="10" s="1"/>
  <c r="Z20" i="10"/>
  <c r="AA20" i="10" s="1"/>
  <c r="AF16" i="10"/>
  <c r="AE14" i="10"/>
  <c r="Z11" i="10" l="1"/>
  <c r="AE3" i="10" s="1"/>
  <c r="AE10" i="10" s="1"/>
  <c r="AE11" i="10" s="1"/>
</calcChain>
</file>

<file path=xl/sharedStrings.xml><?xml version="1.0" encoding="utf-8"?>
<sst xmlns="http://schemas.openxmlformats.org/spreadsheetml/2006/main" count="99" uniqueCount="80">
  <si>
    <t>ردیف</t>
  </si>
  <si>
    <t>قطعات</t>
  </si>
  <si>
    <t>تعداد</t>
  </si>
  <si>
    <t>توضیحات</t>
  </si>
  <si>
    <t>شاخه 12 متری</t>
  </si>
  <si>
    <t>میلگرد</t>
  </si>
  <si>
    <t>قوطی</t>
  </si>
  <si>
    <t>شاخه 6 متری</t>
  </si>
  <si>
    <t>استیفنر</t>
  </si>
  <si>
    <t>زد</t>
  </si>
  <si>
    <t>ضخامت (mm)</t>
  </si>
  <si>
    <t>وزن</t>
  </si>
  <si>
    <t>طول(cm)</t>
  </si>
  <si>
    <t>عرض(cm)</t>
  </si>
  <si>
    <t>وزن ورق</t>
  </si>
  <si>
    <t>وزن زد</t>
  </si>
  <si>
    <t>وزن قوطی</t>
  </si>
  <si>
    <t>وزن میلگرد</t>
  </si>
  <si>
    <t>وزن تیرآهن</t>
  </si>
  <si>
    <t>وزن ناودانی</t>
  </si>
  <si>
    <t>وزن نبشی</t>
  </si>
  <si>
    <t>وزن ورق 6</t>
  </si>
  <si>
    <t>وزن ورق 8</t>
  </si>
  <si>
    <t>وزن ورق 10</t>
  </si>
  <si>
    <t>وزن ورق 12</t>
  </si>
  <si>
    <t>وزن ورق 15</t>
  </si>
  <si>
    <t>وزن ورق 20</t>
  </si>
  <si>
    <t>وزن ورق 25</t>
  </si>
  <si>
    <t>وزن ورق 30</t>
  </si>
  <si>
    <t>جمع کل</t>
  </si>
  <si>
    <t>تسمه</t>
  </si>
  <si>
    <t>جان</t>
  </si>
  <si>
    <t xml:space="preserve">راسته جان </t>
  </si>
  <si>
    <t>لچگی جان</t>
  </si>
  <si>
    <t>بال</t>
  </si>
  <si>
    <t>میلگرد 18</t>
  </si>
  <si>
    <t>فلنج زد</t>
  </si>
  <si>
    <t>فلنج استرات</t>
  </si>
  <si>
    <t>فلنج کنسول</t>
  </si>
  <si>
    <t>وزن کل سازه</t>
  </si>
  <si>
    <t>Rev : 1</t>
  </si>
  <si>
    <t>فلنج تاج</t>
  </si>
  <si>
    <t xml:space="preserve">فلنج  اصلی </t>
  </si>
  <si>
    <t>کف ستون</t>
  </si>
  <si>
    <t>والپست</t>
  </si>
  <si>
    <t>کف ستون والپست</t>
  </si>
  <si>
    <t>فلنج  و پلیت</t>
  </si>
  <si>
    <t>BOX90x3</t>
  </si>
  <si>
    <t xml:space="preserve">رفتر </t>
  </si>
  <si>
    <t xml:space="preserve">ستون </t>
  </si>
  <si>
    <t>میلگرد 25</t>
  </si>
  <si>
    <t>Z180X2.5</t>
  </si>
  <si>
    <t>شاخه 7 متری</t>
  </si>
  <si>
    <t>جوش و رنگ و پیچ</t>
  </si>
  <si>
    <t>کرپل</t>
  </si>
  <si>
    <t>20m × 6.7m × 60m</t>
  </si>
  <si>
    <t>نوع شیت</t>
  </si>
  <si>
    <t xml:space="preserve">وزن </t>
  </si>
  <si>
    <t xml:space="preserve">تعداد </t>
  </si>
  <si>
    <t>وزن مجموع</t>
  </si>
  <si>
    <t>نوع تسمه</t>
  </si>
  <si>
    <t>وزن تسمه</t>
  </si>
  <si>
    <t>PL6000×1200</t>
  </si>
  <si>
    <t xml:space="preserve"> 6 میل</t>
  </si>
  <si>
    <t xml:space="preserve"> 8 میل</t>
  </si>
  <si>
    <t xml:space="preserve"> 10 میل</t>
  </si>
  <si>
    <t>PL150×8</t>
  </si>
  <si>
    <t xml:space="preserve"> 12 میل</t>
  </si>
  <si>
    <t xml:space="preserve"> 15 میل</t>
  </si>
  <si>
    <t xml:space="preserve"> 20 میل</t>
  </si>
  <si>
    <t xml:space="preserve"> 25 میل</t>
  </si>
  <si>
    <t xml:space="preserve"> 30 میل</t>
  </si>
  <si>
    <t>X</t>
  </si>
  <si>
    <t>Y</t>
  </si>
  <si>
    <t>پلیت بادبندی</t>
  </si>
  <si>
    <t>ناودانی</t>
  </si>
  <si>
    <t>UNP 80</t>
  </si>
  <si>
    <t>PL200×10</t>
  </si>
  <si>
    <t>Fina1 02.06.01</t>
  </si>
  <si>
    <t>لیست خرید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</si>
</sst>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B Badr"/>
      <charset val="178"/>
    </font>
    <font>
      <sz val="8"/>
      <color theme="1"/>
      <name val="B Badr"/>
      <charset val="178"/>
    </font>
    <font>
      <sz val="8"/>
      <color rgb="FF9C0006"/>
      <name val="B Badr"/>
      <charset val="178"/>
    </font>
    <font>
      <sz val="8"/>
      <color theme="1"/>
      <name val="Calibri"/>
      <family val="2"/>
      <scheme val="minor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b/>
      <sz val="9"/>
      <color rgb="FF006100"/>
      <name val="B Titr"/>
      <charset val="178"/>
    </font>
    <font>
      <b/>
      <i/>
      <sz val="11"/>
      <color rgb="FF006100"/>
      <name val="Times New Roman"/>
      <family val="1"/>
    </font>
    <font>
      <i/>
      <sz val="8"/>
      <color rgb="FF9C6500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i/>
      <sz val="8"/>
      <name val="Calibri Light"/>
      <family val="2"/>
      <scheme val="major"/>
    </font>
    <font>
      <i/>
      <sz val="8"/>
      <color rgb="FF9C0006"/>
      <name val="Calibri Light"/>
      <family val="2"/>
      <scheme val="major"/>
    </font>
    <font>
      <i/>
      <sz val="1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b/>
      <i/>
      <sz val="12"/>
      <color rgb="FF9C0006"/>
      <name val="Calibri Light"/>
      <family val="2"/>
      <scheme val="major"/>
    </font>
    <font>
      <i/>
      <sz val="8"/>
      <color theme="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0"/>
      <color rgb="FF006100"/>
      <name val="Calibri Light"/>
      <family val="2"/>
      <scheme val="major"/>
    </font>
    <font>
      <sz val="12"/>
      <color theme="1"/>
      <name val="B Badr"/>
      <charset val="178"/>
    </font>
    <font>
      <i/>
      <sz val="12"/>
      <color theme="0"/>
      <name val="Calibri Light"/>
      <family val="2"/>
      <scheme val="major"/>
    </font>
    <font>
      <sz val="8"/>
      <color theme="0"/>
      <name val="B Nazanin"/>
      <charset val="178"/>
    </font>
    <font>
      <b/>
      <sz val="8"/>
      <color theme="1"/>
      <name val="B Nazanin"/>
      <charset val="178"/>
    </font>
    <font>
      <b/>
      <sz val="10"/>
      <color theme="1"/>
      <name val="B Nazanin"/>
      <charset val="178"/>
    </font>
    <font>
      <sz val="9"/>
      <color theme="1"/>
      <name val="B Nazanin"/>
      <charset val="178"/>
    </font>
    <font>
      <sz val="10"/>
      <color theme="1"/>
      <name val="B Nazanin"/>
      <charset val="178"/>
    </font>
    <font>
      <u/>
      <sz val="11"/>
      <color theme="1"/>
      <name val="B Nazanin"/>
      <charset val="178"/>
    </font>
    <font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shrinkToFit="1"/>
    </xf>
    <xf numFmtId="0" fontId="6" fillId="0" borderId="0" xfId="2" applyFont="1" applyFill="1" applyBorder="1" applyAlignment="1">
      <alignment vertical="center" textRotation="90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2" fillId="4" borderId="1" xfId="3" applyFont="1" applyBorder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12" fillId="4" borderId="3" xfId="3" applyFont="1" applyBorder="1" applyAlignment="1">
      <alignment horizontal="center" vertical="center" textRotation="90"/>
    </xf>
    <xf numFmtId="0" fontId="12" fillId="4" borderId="3" xfId="3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9" fillId="5" borderId="1" xfId="2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12" fillId="4" borderId="8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0" fillId="0" borderId="0" xfId="0" applyNumberFormat="1"/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4" borderId="1" xfId="3" applyFont="1" applyBorder="1" applyAlignment="1">
      <alignment horizontal="center" vertical="center"/>
    </xf>
    <xf numFmtId="0" fontId="15" fillId="0" borderId="2" xfId="2" applyFont="1" applyFill="1" applyBorder="1" applyAlignment="1">
      <alignment vertical="center" textRotation="90"/>
    </xf>
    <xf numFmtId="0" fontId="21" fillId="0" borderId="1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" fontId="28" fillId="0" borderId="1" xfId="0" applyNumberFormat="1" applyFont="1" applyBorder="1" applyAlignment="1">
      <alignment horizontal="center" vertical="center"/>
    </xf>
    <xf numFmtId="0" fontId="23" fillId="0" borderId="14" xfId="0" applyFont="1" applyBorder="1"/>
    <xf numFmtId="1" fontId="21" fillId="0" borderId="1" xfId="0" applyNumberFormat="1" applyFont="1" applyBorder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15" fillId="0" borderId="1" xfId="2" applyFont="1" applyFill="1" applyBorder="1" applyAlignment="1">
      <alignment horizontal="center" vertical="center" textRotation="90"/>
    </xf>
    <xf numFmtId="0" fontId="2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5" fillId="0" borderId="2" xfId="2" applyFont="1" applyFill="1" applyBorder="1" applyAlignment="1">
      <alignment horizontal="center" vertical="center" textRotation="90"/>
    </xf>
    <xf numFmtId="0" fontId="15" fillId="0" borderId="3" xfId="2" applyFont="1" applyFill="1" applyBorder="1" applyAlignment="1">
      <alignment horizontal="center" vertical="center" textRotation="90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1" fillId="2" borderId="1" xfId="1" applyFont="1" applyBorder="1" applyAlignment="1">
      <alignment horizontal="center" vertical="center"/>
    </xf>
    <xf numFmtId="0" fontId="12" fillId="4" borderId="1" xfId="3" applyFont="1" applyBorder="1" applyAlignment="1">
      <alignment horizontal="center" vertical="center"/>
    </xf>
    <xf numFmtId="0" fontId="12" fillId="4" borderId="5" xfId="3" applyFont="1" applyBorder="1" applyAlignment="1">
      <alignment horizontal="center" vertical="center"/>
    </xf>
    <xf numFmtId="0" fontId="12" fillId="4" borderId="6" xfId="3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2" fillId="2" borderId="5" xfId="1" applyFont="1" applyBorder="1" applyAlignment="1">
      <alignment horizontal="center" vertical="center"/>
    </xf>
    <xf numFmtId="0" fontId="22" fillId="2" borderId="7" xfId="1" applyFont="1" applyBorder="1" applyAlignment="1">
      <alignment horizontal="center" vertical="center"/>
    </xf>
    <xf numFmtId="0" fontId="22" fillId="2" borderId="6" xfId="1" applyFont="1" applyBorder="1" applyAlignment="1">
      <alignment horizontal="center" vertical="center"/>
    </xf>
    <xf numFmtId="0" fontId="10" fillId="2" borderId="5" xfId="1" applyFont="1" applyBorder="1" applyAlignment="1">
      <alignment horizontal="center" vertical="center"/>
    </xf>
    <xf numFmtId="0" fontId="10" fillId="2" borderId="7" xfId="1" applyFont="1" applyBorder="1" applyAlignment="1">
      <alignment horizontal="center" vertical="center"/>
    </xf>
    <xf numFmtId="0" fontId="10" fillId="2" borderId="6" xfId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5" fillId="0" borderId="4" xfId="2" applyFont="1" applyFill="1" applyBorder="1" applyAlignment="1">
      <alignment horizontal="center" vertical="center" textRotation="90"/>
    </xf>
    <xf numFmtId="0" fontId="0" fillId="0" borderId="0" xfId="0"/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" fontId="28" fillId="0" borderId="5" xfId="0" applyNumberFormat="1" applyFont="1" applyBorder="1" applyAlignment="1">
      <alignment horizontal="center" vertical="center"/>
    </xf>
    <xf numFmtId="1" fontId="28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" fontId="28" fillId="6" borderId="5" xfId="0" applyNumberFormat="1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textRotation="180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2'!$B$6:$B$19</c:f>
              <c:numCache>
                <c:formatCode>0.00</c:formatCode>
                <c:ptCount val="14"/>
                <c:pt idx="0">
                  <c:v>2020.665</c:v>
                </c:pt>
                <c:pt idx="1">
                  <c:v>2021.3430000000001</c:v>
                </c:pt>
                <c:pt idx="2">
                  <c:v>2021.972</c:v>
                </c:pt>
                <c:pt idx="3">
                  <c:v>2022.569</c:v>
                </c:pt>
                <c:pt idx="4">
                  <c:v>2023.2170000000001</c:v>
                </c:pt>
                <c:pt idx="5">
                  <c:v>2023.8679999999999</c:v>
                </c:pt>
                <c:pt idx="6">
                  <c:v>2024.5119999999999</c:v>
                </c:pt>
                <c:pt idx="7">
                  <c:v>2025.155</c:v>
                </c:pt>
                <c:pt idx="8">
                  <c:v>2025.768</c:v>
                </c:pt>
                <c:pt idx="9">
                  <c:v>2026.443</c:v>
                </c:pt>
                <c:pt idx="10">
                  <c:v>2027.009</c:v>
                </c:pt>
              </c:numCache>
            </c:numRef>
          </c:xVal>
          <c:yVal>
            <c:numRef>
              <c:f>'Sheet 2'!$C$6:$C$19</c:f>
              <c:numCache>
                <c:formatCode>0.00</c:formatCode>
                <c:ptCount val="14"/>
                <c:pt idx="0">
                  <c:v>2023.9369999999999</c:v>
                </c:pt>
                <c:pt idx="1">
                  <c:v>2017.9949999999999</c:v>
                </c:pt>
                <c:pt idx="2">
                  <c:v>2012.021</c:v>
                </c:pt>
                <c:pt idx="3">
                  <c:v>2006.05</c:v>
                </c:pt>
                <c:pt idx="4">
                  <c:v>2000.09</c:v>
                </c:pt>
                <c:pt idx="5">
                  <c:v>1994.1120000000001</c:v>
                </c:pt>
                <c:pt idx="6">
                  <c:v>1988.152</c:v>
                </c:pt>
                <c:pt idx="7">
                  <c:v>1982.18</c:v>
                </c:pt>
                <c:pt idx="8">
                  <c:v>1976.2090000000001</c:v>
                </c:pt>
                <c:pt idx="9">
                  <c:v>1970.2460000000001</c:v>
                </c:pt>
                <c:pt idx="10">
                  <c:v>1964.27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2-4AF8-AECA-B4309BF3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636239"/>
        <c:axId val="295641647"/>
      </c:scatterChart>
      <c:valAx>
        <c:axId val="29563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41647"/>
        <c:crosses val="autoZero"/>
        <c:crossBetween val="midCat"/>
      </c:valAx>
      <c:valAx>
        <c:axId val="2956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63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2</xdr:row>
      <xdr:rowOff>133350</xdr:rowOff>
    </xdr:from>
    <xdr:to>
      <xdr:col>13</xdr:col>
      <xdr:colOff>371474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0"/>
  <sheetViews>
    <sheetView rightToLeft="1" tabSelected="1" zoomScaleNormal="100" zoomScaleSheetLayoutView="100" workbookViewId="0">
      <selection activeCell="I13" sqref="I13"/>
    </sheetView>
  </sheetViews>
  <sheetFormatPr defaultColWidth="8.88671875" defaultRowHeight="21" x14ac:dyDescent="0.8"/>
  <cols>
    <col min="1" max="1" width="3" style="1" customWidth="1"/>
    <col min="2" max="3" width="3.5546875" style="4" customWidth="1"/>
    <col min="4" max="4" width="6.5546875" style="4" customWidth="1"/>
    <col min="5" max="6" width="3.5546875" style="4" customWidth="1"/>
    <col min="7" max="7" width="6.5546875" style="4" customWidth="1"/>
    <col min="8" max="8" width="6.5546875" style="4" bestFit="1" customWidth="1"/>
    <col min="9" max="9" width="6.6640625" style="4" customWidth="1"/>
    <col min="10" max="10" width="8.6640625" style="4" customWidth="1"/>
    <col min="11" max="11" width="11.6640625" style="4" customWidth="1"/>
    <col min="12" max="12" width="1.88671875" style="4" customWidth="1"/>
    <col min="13" max="14" width="3.5546875" style="4" customWidth="1"/>
    <col min="15" max="17" width="6.5546875" style="4" customWidth="1"/>
    <col min="18" max="18" width="7.109375" style="4" bestFit="1" customWidth="1"/>
    <col min="19" max="19" width="6.6640625" style="4" customWidth="1"/>
    <col min="20" max="20" width="15.6640625" style="4" customWidth="1"/>
    <col min="21" max="22" width="1.6640625" style="1" customWidth="1"/>
    <col min="23" max="23" width="2.6640625" style="1" customWidth="1"/>
    <col min="24" max="28" width="6.33203125" style="1" customWidth="1"/>
    <col min="29" max="29" width="7.6640625" style="1" customWidth="1"/>
    <col min="30" max="32" width="6.33203125" style="1" customWidth="1"/>
    <col min="33" max="16384" width="8.88671875" style="1"/>
  </cols>
  <sheetData>
    <row r="1" spans="1:32" ht="20.100000000000001" customHeight="1" x14ac:dyDescent="0.8">
      <c r="A1" s="67" t="s">
        <v>40</v>
      </c>
      <c r="B1" s="68"/>
      <c r="C1" s="69"/>
      <c r="D1" s="70" t="s">
        <v>79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2"/>
      <c r="R1" s="58" t="s">
        <v>55</v>
      </c>
      <c r="S1" s="58"/>
      <c r="T1" s="58"/>
    </row>
    <row r="2" spans="1:32" ht="20.100000000000001" customHeight="1" x14ac:dyDescent="0.8">
      <c r="A2" s="11" t="s">
        <v>2</v>
      </c>
      <c r="B2" s="11" t="s">
        <v>0</v>
      </c>
      <c r="C2" s="11" t="s">
        <v>1</v>
      </c>
      <c r="D2" s="33" t="s">
        <v>12</v>
      </c>
      <c r="E2" s="59" t="s">
        <v>13</v>
      </c>
      <c r="F2" s="59"/>
      <c r="G2" s="33" t="s">
        <v>10</v>
      </c>
      <c r="H2" s="33" t="s">
        <v>2</v>
      </c>
      <c r="I2" s="33" t="s">
        <v>11</v>
      </c>
      <c r="J2" s="60" t="s">
        <v>3</v>
      </c>
      <c r="K2" s="61"/>
      <c r="L2" s="12"/>
      <c r="M2" s="13" t="s">
        <v>0</v>
      </c>
      <c r="N2" s="13" t="s">
        <v>1</v>
      </c>
      <c r="O2" s="14" t="s">
        <v>12</v>
      </c>
      <c r="P2" s="14" t="s">
        <v>13</v>
      </c>
      <c r="Q2" s="23" t="s">
        <v>10</v>
      </c>
      <c r="R2" s="33" t="s">
        <v>2</v>
      </c>
      <c r="S2" s="33" t="s">
        <v>11</v>
      </c>
      <c r="T2" s="33" t="s">
        <v>3</v>
      </c>
    </row>
    <row r="3" spans="1:32" ht="20.100000000000001" customHeight="1" x14ac:dyDescent="0.8">
      <c r="A3" s="48">
        <v>11</v>
      </c>
      <c r="B3" s="29">
        <v>1</v>
      </c>
      <c r="C3" s="50" t="s">
        <v>30</v>
      </c>
      <c r="D3" s="31">
        <v>600</v>
      </c>
      <c r="E3" s="47">
        <v>30</v>
      </c>
      <c r="F3" s="47"/>
      <c r="G3" s="31">
        <v>8</v>
      </c>
      <c r="H3" s="21">
        <f>ROUNDUP(A3*(1.5)/6,0)</f>
        <v>3</v>
      </c>
      <c r="I3" s="15">
        <f>D3*E3*G3*H3*7870/10000000</f>
        <v>339.98399999999998</v>
      </c>
      <c r="J3" s="15" t="s">
        <v>32</v>
      </c>
      <c r="K3" s="64" t="s">
        <v>49</v>
      </c>
      <c r="L3" s="12"/>
      <c r="M3" s="29">
        <f>B16+1</f>
        <v>15</v>
      </c>
      <c r="N3" s="50" t="s">
        <v>46</v>
      </c>
      <c r="O3" s="31">
        <f>F6+15</f>
        <v>80</v>
      </c>
      <c r="P3" s="31">
        <v>20</v>
      </c>
      <c r="Q3" s="32">
        <v>20</v>
      </c>
      <c r="R3" s="21">
        <f>11*2</f>
        <v>22</v>
      </c>
      <c r="S3" s="16">
        <f t="shared" ref="S3:S16" si="0">O3*P3*Q3*R3*7870/10000000</f>
        <v>554.048</v>
      </c>
      <c r="T3" s="64" t="s">
        <v>42</v>
      </c>
      <c r="V3" s="24">
        <v>6</v>
      </c>
      <c r="W3" s="24"/>
      <c r="X3" s="90" t="s">
        <v>21</v>
      </c>
      <c r="Y3" s="90"/>
      <c r="Z3" s="91">
        <f t="shared" ref="Z3:Z10" si="1">SUMIF($G$3:$G$14,V3,$I$3:$I$14)+SUMIF($Q$3:$Q$16,V3,$S$3:$S$16)</f>
        <v>631.37861999999996</v>
      </c>
      <c r="AA3" s="92"/>
      <c r="AB3" s="8"/>
      <c r="AC3" s="88" t="s">
        <v>14</v>
      </c>
      <c r="AD3" s="88"/>
      <c r="AE3" s="89">
        <f>Z11</f>
        <v>23432.663715999995</v>
      </c>
      <c r="AF3" s="89"/>
    </row>
    <row r="4" spans="1:32" ht="20.100000000000001" customHeight="1" x14ac:dyDescent="0.8">
      <c r="A4" s="73"/>
      <c r="B4" s="29">
        <f>B3+1</f>
        <v>2</v>
      </c>
      <c r="C4" s="74"/>
      <c r="D4" s="31">
        <v>600</v>
      </c>
      <c r="E4" s="31">
        <v>65</v>
      </c>
      <c r="F4" s="31">
        <v>30</v>
      </c>
      <c r="G4" s="31">
        <v>8</v>
      </c>
      <c r="H4" s="21">
        <f>A3</f>
        <v>11</v>
      </c>
      <c r="I4" s="15">
        <f>D4*(E4+F4)/2*G4*H4*7870/10000000</f>
        <v>1973.796</v>
      </c>
      <c r="J4" s="15" t="s">
        <v>33</v>
      </c>
      <c r="K4" s="65"/>
      <c r="L4" s="12"/>
      <c r="M4" s="29">
        <f>M3+1</f>
        <v>16</v>
      </c>
      <c r="N4" s="74"/>
      <c r="O4" s="31">
        <v>90</v>
      </c>
      <c r="P4" s="31">
        <v>22</v>
      </c>
      <c r="Q4" s="32">
        <v>20</v>
      </c>
      <c r="R4" s="21">
        <f>11*1</f>
        <v>11</v>
      </c>
      <c r="S4" s="16">
        <f t="shared" si="0"/>
        <v>342.81720000000001</v>
      </c>
      <c r="T4" s="66"/>
      <c r="V4" s="24">
        <v>8</v>
      </c>
      <c r="W4" s="24"/>
      <c r="X4" s="90" t="s">
        <v>22</v>
      </c>
      <c r="Y4" s="90"/>
      <c r="Z4" s="91">
        <f t="shared" si="1"/>
        <v>10574.711231999998</v>
      </c>
      <c r="AA4" s="92"/>
      <c r="AB4" s="8"/>
      <c r="AC4" s="88" t="s">
        <v>15</v>
      </c>
      <c r="AD4" s="88"/>
      <c r="AE4" s="89">
        <f>SUM(I15:I16)</f>
        <v>8839.5999999999985</v>
      </c>
      <c r="AF4" s="89"/>
    </row>
    <row r="5" spans="1:32" ht="20.100000000000001" customHeight="1" x14ac:dyDescent="0.8">
      <c r="A5" s="49"/>
      <c r="B5" s="29">
        <f t="shared" ref="B5:B16" si="2">B4+1</f>
        <v>3</v>
      </c>
      <c r="C5" s="74"/>
      <c r="D5" s="31">
        <v>600</v>
      </c>
      <c r="E5" s="62">
        <v>20</v>
      </c>
      <c r="F5" s="63"/>
      <c r="G5" s="31">
        <v>12</v>
      </c>
      <c r="H5" s="21">
        <f>ROUNDUP(A3*(7.4*2)/6,0)</f>
        <v>28</v>
      </c>
      <c r="I5" s="15">
        <f>D5*E5*G5*H5*7870/10000000</f>
        <v>3173.1840000000002</v>
      </c>
      <c r="J5" s="15" t="s">
        <v>34</v>
      </c>
      <c r="K5" s="66"/>
      <c r="L5" s="12"/>
      <c r="M5" s="29">
        <f t="shared" ref="M5:M12" si="3">M4+1</f>
        <v>17</v>
      </c>
      <c r="N5" s="74"/>
      <c r="O5" s="31">
        <f>E7+15</f>
        <v>55</v>
      </c>
      <c r="P5" s="31">
        <v>20</v>
      </c>
      <c r="Q5" s="32">
        <v>20</v>
      </c>
      <c r="R5" s="21">
        <f>(A6)*1</f>
        <v>22</v>
      </c>
      <c r="S5" s="16">
        <f t="shared" si="0"/>
        <v>380.90800000000002</v>
      </c>
      <c r="T5" s="31" t="s">
        <v>41</v>
      </c>
      <c r="V5" s="24">
        <v>10</v>
      </c>
      <c r="W5" s="24"/>
      <c r="X5" s="90" t="s">
        <v>23</v>
      </c>
      <c r="Y5" s="90"/>
      <c r="Z5" s="91">
        <f t="shared" si="1"/>
        <v>6993.5968000000003</v>
      </c>
      <c r="AA5" s="92"/>
      <c r="AB5" s="8"/>
      <c r="AC5" s="88" t="s">
        <v>16</v>
      </c>
      <c r="AD5" s="88"/>
      <c r="AE5" s="89">
        <f>SUM(S17)</f>
        <v>3120</v>
      </c>
      <c r="AF5" s="89"/>
    </row>
    <row r="6" spans="1:32" ht="20.100000000000001" customHeight="1" x14ac:dyDescent="0.8">
      <c r="A6" s="48">
        <v>22</v>
      </c>
      <c r="B6" s="29">
        <f t="shared" si="2"/>
        <v>4</v>
      </c>
      <c r="C6" s="74"/>
      <c r="D6" s="31">
        <v>300</v>
      </c>
      <c r="E6" s="31">
        <v>40</v>
      </c>
      <c r="F6" s="31">
        <v>65</v>
      </c>
      <c r="G6" s="31">
        <v>8</v>
      </c>
      <c r="H6" s="21">
        <f>A6</f>
        <v>22</v>
      </c>
      <c r="I6" s="15">
        <f>D6*(E6+F6)/2*G6*H6*7870/10000000</f>
        <v>2181.5639999999999</v>
      </c>
      <c r="J6" s="15" t="s">
        <v>33</v>
      </c>
      <c r="K6" s="64" t="s">
        <v>48</v>
      </c>
      <c r="L6" s="12"/>
      <c r="M6" s="29">
        <f t="shared" si="3"/>
        <v>18</v>
      </c>
      <c r="N6" s="74"/>
      <c r="O6" s="31">
        <f>E3+10</f>
        <v>40</v>
      </c>
      <c r="P6" s="31">
        <f>E5+10</f>
        <v>30</v>
      </c>
      <c r="Q6" s="32">
        <v>20</v>
      </c>
      <c r="R6" s="21">
        <v>6</v>
      </c>
      <c r="S6" s="16">
        <f t="shared" si="0"/>
        <v>113.328</v>
      </c>
      <c r="T6" s="64" t="s">
        <v>43</v>
      </c>
      <c r="V6" s="24">
        <v>12</v>
      </c>
      <c r="W6" s="24"/>
      <c r="X6" s="90" t="s">
        <v>24</v>
      </c>
      <c r="Y6" s="90"/>
      <c r="Z6" s="91">
        <f t="shared" si="1"/>
        <v>3735.6308640000002</v>
      </c>
      <c r="AA6" s="92"/>
      <c r="AB6" s="8"/>
      <c r="AC6" s="88" t="s">
        <v>17</v>
      </c>
      <c r="AD6" s="88"/>
      <c r="AE6" s="89">
        <f>SUM(S18:S19)</f>
        <v>720</v>
      </c>
      <c r="AF6" s="89"/>
    </row>
    <row r="7" spans="1:32" ht="20.100000000000001" customHeight="1" x14ac:dyDescent="0.8">
      <c r="A7" s="73"/>
      <c r="B7" s="29">
        <f t="shared" si="2"/>
        <v>5</v>
      </c>
      <c r="C7" s="74"/>
      <c r="D7" s="31">
        <v>600</v>
      </c>
      <c r="E7" s="47">
        <v>40</v>
      </c>
      <c r="F7" s="47"/>
      <c r="G7" s="31">
        <v>8</v>
      </c>
      <c r="H7" s="21">
        <f>ROUNDUP(A6*(6.8)/6,0)</f>
        <v>25</v>
      </c>
      <c r="I7" s="15">
        <f>D7*E7*G7*H7*7870/10000000</f>
        <v>3777.6</v>
      </c>
      <c r="J7" s="15" t="s">
        <v>32</v>
      </c>
      <c r="K7" s="65"/>
      <c r="L7" s="12"/>
      <c r="M7" s="29">
        <f t="shared" si="3"/>
        <v>19</v>
      </c>
      <c r="N7" s="74"/>
      <c r="O7" s="31">
        <v>45</v>
      </c>
      <c r="P7" s="31">
        <v>30</v>
      </c>
      <c r="Q7" s="32">
        <v>20</v>
      </c>
      <c r="R7" s="21">
        <v>5</v>
      </c>
      <c r="S7" s="16">
        <f t="shared" si="0"/>
        <v>106.245</v>
      </c>
      <c r="T7" s="66"/>
      <c r="V7" s="24">
        <v>15</v>
      </c>
      <c r="W7" s="24"/>
      <c r="X7" s="90" t="s">
        <v>25</v>
      </c>
      <c r="Y7" s="90"/>
      <c r="Z7" s="91">
        <f t="shared" si="1"/>
        <v>0</v>
      </c>
      <c r="AA7" s="92"/>
      <c r="AB7" s="8"/>
      <c r="AC7" s="88" t="s">
        <v>20</v>
      </c>
      <c r="AD7" s="88"/>
      <c r="AE7" s="89">
        <f>SUM(0)</f>
        <v>0</v>
      </c>
      <c r="AF7" s="89"/>
    </row>
    <row r="8" spans="1:32" ht="20.100000000000001" customHeight="1" x14ac:dyDescent="0.8">
      <c r="A8" s="49"/>
      <c r="B8" s="29">
        <f t="shared" si="2"/>
        <v>6</v>
      </c>
      <c r="C8" s="74"/>
      <c r="D8" s="31">
        <v>600</v>
      </c>
      <c r="E8" s="47">
        <v>20</v>
      </c>
      <c r="F8" s="47"/>
      <c r="G8" s="31">
        <v>10</v>
      </c>
      <c r="H8" s="21">
        <f>ROUNDUP(A6*(9.8*2)/6,0)</f>
        <v>72</v>
      </c>
      <c r="I8" s="15">
        <f>D8*E8*G8*H8*7870/10000000</f>
        <v>6799.68</v>
      </c>
      <c r="J8" s="15" t="s">
        <v>34</v>
      </c>
      <c r="K8" s="66"/>
      <c r="L8" s="12"/>
      <c r="M8" s="29">
        <f t="shared" si="3"/>
        <v>20</v>
      </c>
      <c r="N8" s="74"/>
      <c r="O8" s="31">
        <v>30</v>
      </c>
      <c r="P8" s="31">
        <v>25</v>
      </c>
      <c r="Q8" s="32">
        <v>12</v>
      </c>
      <c r="R8" s="21">
        <f>A9</f>
        <v>4</v>
      </c>
      <c r="S8" s="16">
        <f t="shared" si="0"/>
        <v>28.332000000000001</v>
      </c>
      <c r="T8" s="31" t="s">
        <v>45</v>
      </c>
      <c r="V8" s="24">
        <v>20</v>
      </c>
      <c r="W8" s="24"/>
      <c r="X8" s="90" t="s">
        <v>26</v>
      </c>
      <c r="Y8" s="90"/>
      <c r="Z8" s="91">
        <f t="shared" si="1"/>
        <v>1497.3462</v>
      </c>
      <c r="AA8" s="92"/>
      <c r="AB8" s="8"/>
      <c r="AC8" s="88" t="s">
        <v>18</v>
      </c>
      <c r="AD8" s="88"/>
      <c r="AE8" s="89">
        <f>SUM(0)</f>
        <v>0</v>
      </c>
      <c r="AF8" s="89"/>
    </row>
    <row r="9" spans="1:32" ht="20.100000000000001" customHeight="1" x14ac:dyDescent="0.8">
      <c r="A9" s="48">
        <v>4</v>
      </c>
      <c r="B9" s="29">
        <f t="shared" si="2"/>
        <v>7</v>
      </c>
      <c r="C9" s="74"/>
      <c r="D9" s="31">
        <v>600</v>
      </c>
      <c r="E9" s="62">
        <v>20</v>
      </c>
      <c r="F9" s="63"/>
      <c r="G9" s="31">
        <v>6</v>
      </c>
      <c r="H9" s="21">
        <f>ROUNDUP(A9*(8.2)/6,0)</f>
        <v>6</v>
      </c>
      <c r="I9" s="15">
        <f>D9*E9*G9*H9*7870/10000000</f>
        <v>339.98399999999998</v>
      </c>
      <c r="J9" s="15" t="s">
        <v>32</v>
      </c>
      <c r="K9" s="64" t="s">
        <v>44</v>
      </c>
      <c r="L9" s="12"/>
      <c r="M9" s="29">
        <f t="shared" si="3"/>
        <v>21</v>
      </c>
      <c r="N9" s="74"/>
      <c r="O9" s="31">
        <v>17</v>
      </c>
      <c r="P9" s="31">
        <v>15</v>
      </c>
      <c r="Q9" s="32">
        <v>6</v>
      </c>
      <c r="R9" s="21">
        <f>A15*11</f>
        <v>242</v>
      </c>
      <c r="S9" s="16">
        <f t="shared" si="0"/>
        <v>291.39461999999997</v>
      </c>
      <c r="T9" s="31" t="s">
        <v>36</v>
      </c>
      <c r="V9" s="28">
        <v>25</v>
      </c>
      <c r="W9" s="28"/>
      <c r="X9" s="90" t="s">
        <v>27</v>
      </c>
      <c r="Y9" s="90"/>
      <c r="Z9" s="91">
        <f t="shared" si="1"/>
        <v>0</v>
      </c>
      <c r="AA9" s="92"/>
      <c r="AB9" s="8"/>
      <c r="AC9" s="88" t="s">
        <v>19</v>
      </c>
      <c r="AD9" s="88"/>
      <c r="AE9" s="89">
        <f>SUM(S20)</f>
        <v>933.12000000000012</v>
      </c>
      <c r="AF9" s="89"/>
    </row>
    <row r="10" spans="1:32" ht="20.100000000000001" customHeight="1" x14ac:dyDescent="0.8">
      <c r="A10" s="49"/>
      <c r="B10" s="29">
        <f t="shared" si="2"/>
        <v>8</v>
      </c>
      <c r="C10" s="74"/>
      <c r="D10" s="31">
        <v>600</v>
      </c>
      <c r="E10" s="62">
        <v>15</v>
      </c>
      <c r="F10" s="63"/>
      <c r="G10" s="31">
        <v>8</v>
      </c>
      <c r="H10" s="21">
        <f>ROUNDUP(A9*(8.2*2)/6,0)</f>
        <v>11</v>
      </c>
      <c r="I10" s="15">
        <f>D10*E10*G10*H10*7870/10000000</f>
        <v>623.30399999999997</v>
      </c>
      <c r="J10" s="15" t="s">
        <v>34</v>
      </c>
      <c r="K10" s="66"/>
      <c r="L10" s="12"/>
      <c r="M10" s="29">
        <f t="shared" si="3"/>
        <v>22</v>
      </c>
      <c r="N10" s="74"/>
      <c r="O10" s="31">
        <v>22</v>
      </c>
      <c r="P10" s="31">
        <v>22</v>
      </c>
      <c r="Q10" s="32">
        <v>8</v>
      </c>
      <c r="R10" s="21">
        <f>(R17)*4</f>
        <v>240</v>
      </c>
      <c r="S10" s="16">
        <f t="shared" si="0"/>
        <v>731.34335999999996</v>
      </c>
      <c r="T10" s="31" t="s">
        <v>37</v>
      </c>
      <c r="V10" s="30">
        <v>30</v>
      </c>
      <c r="W10" s="30"/>
      <c r="X10" s="90" t="s">
        <v>28</v>
      </c>
      <c r="Y10" s="90"/>
      <c r="Z10" s="91">
        <f t="shared" si="1"/>
        <v>0</v>
      </c>
      <c r="AA10" s="92"/>
      <c r="AB10" s="8"/>
      <c r="AC10" s="88" t="s">
        <v>53</v>
      </c>
      <c r="AD10" s="88"/>
      <c r="AE10" s="89">
        <f>SUM(AE3:AF9)*0.02</f>
        <v>740.90767431999996</v>
      </c>
      <c r="AF10" s="89"/>
    </row>
    <row r="11" spans="1:32" ht="19.5" customHeight="1" x14ac:dyDescent="0.8">
      <c r="A11" s="48">
        <v>11</v>
      </c>
      <c r="B11" s="29">
        <f t="shared" si="2"/>
        <v>9</v>
      </c>
      <c r="C11" s="74"/>
      <c r="D11" s="31">
        <v>40</v>
      </c>
      <c r="E11" s="31">
        <v>20</v>
      </c>
      <c r="F11" s="31">
        <v>40</v>
      </c>
      <c r="G11" s="31">
        <v>8</v>
      </c>
      <c r="H11" s="21">
        <f>A11</f>
        <v>11</v>
      </c>
      <c r="I11" s="15">
        <f>D11*(E11+F11)/2*G11*H11*7870/10000000</f>
        <v>83.107200000000006</v>
      </c>
      <c r="J11" s="15" t="s">
        <v>31</v>
      </c>
      <c r="K11" s="47" t="s">
        <v>54</v>
      </c>
      <c r="L11" s="12"/>
      <c r="M11" s="29">
        <f t="shared" si="3"/>
        <v>23</v>
      </c>
      <c r="N11" s="74"/>
      <c r="O11" s="31">
        <v>30</v>
      </c>
      <c r="P11" s="31">
        <v>15</v>
      </c>
      <c r="Q11" s="32">
        <v>10</v>
      </c>
      <c r="R11" s="21">
        <v>0</v>
      </c>
      <c r="S11" s="16">
        <f t="shared" si="0"/>
        <v>0</v>
      </c>
      <c r="T11" s="31" t="s">
        <v>38</v>
      </c>
      <c r="V11" s="8"/>
      <c r="W11" s="8"/>
      <c r="X11" s="94" t="s">
        <v>29</v>
      </c>
      <c r="Y11" s="94"/>
      <c r="Z11" s="95">
        <f>SUM(Z3:AA10)</f>
        <v>23432.663715999995</v>
      </c>
      <c r="AA11" s="96"/>
      <c r="AB11" s="8"/>
      <c r="AC11" s="97" t="s">
        <v>39</v>
      </c>
      <c r="AD11" s="97"/>
      <c r="AE11" s="87">
        <f>SUM(AE3:AF10)</f>
        <v>37786.291390319995</v>
      </c>
      <c r="AF11" s="87"/>
    </row>
    <row r="12" spans="1:32" ht="20.100000000000001" customHeight="1" x14ac:dyDescent="0.8">
      <c r="A12" s="49"/>
      <c r="B12" s="29">
        <f t="shared" si="2"/>
        <v>10</v>
      </c>
      <c r="C12" s="74"/>
      <c r="D12" s="31">
        <v>600</v>
      </c>
      <c r="E12" s="47">
        <v>20</v>
      </c>
      <c r="F12" s="47"/>
      <c r="G12" s="31">
        <v>12</v>
      </c>
      <c r="H12" s="21">
        <f>ROUNDUP(A11*(1.4)/6,0)</f>
        <v>3</v>
      </c>
      <c r="I12" s="22">
        <f>D12*E12*G12*H12*7870/10000000</f>
        <v>339.98399999999998</v>
      </c>
      <c r="J12" s="15" t="s">
        <v>34</v>
      </c>
      <c r="K12" s="47"/>
      <c r="L12" s="12"/>
      <c r="M12" s="29">
        <f t="shared" si="3"/>
        <v>24</v>
      </c>
      <c r="N12" s="74"/>
      <c r="O12" s="31">
        <v>44</v>
      </c>
      <c r="P12" s="31">
        <v>35</v>
      </c>
      <c r="Q12" s="32">
        <v>10</v>
      </c>
      <c r="R12" s="21">
        <f>4*(4)</f>
        <v>16</v>
      </c>
      <c r="S12" s="16">
        <f t="shared" si="0"/>
        <v>193.91679999999999</v>
      </c>
      <c r="T12" s="64" t="s">
        <v>74</v>
      </c>
      <c r="V12" s="8"/>
      <c r="W12" s="8"/>
      <c r="X12" s="4"/>
      <c r="Y12" s="4"/>
      <c r="Z12" s="10"/>
      <c r="AA12" s="10"/>
      <c r="AB12" s="10"/>
      <c r="AC12" s="75"/>
      <c r="AD12" s="75"/>
      <c r="AE12"/>
    </row>
    <row r="13" spans="1:32" ht="20.100000000000001" customHeight="1" x14ac:dyDescent="0.8">
      <c r="A13" s="26"/>
      <c r="B13" s="29">
        <f t="shared" si="2"/>
        <v>11</v>
      </c>
      <c r="C13" s="74"/>
      <c r="D13" s="31">
        <v>600</v>
      </c>
      <c r="E13" s="47">
        <v>7</v>
      </c>
      <c r="F13" s="47"/>
      <c r="G13" s="31">
        <v>8</v>
      </c>
      <c r="H13" s="21">
        <f>ROUNDUP((A9*8*0.2)/6,0)</f>
        <v>2</v>
      </c>
      <c r="I13" s="15">
        <f>D13*E13*G13*H13*7870/10000000</f>
        <v>52.886400000000002</v>
      </c>
      <c r="J13" s="83" t="s">
        <v>8</v>
      </c>
      <c r="K13" s="84"/>
      <c r="L13" s="12"/>
      <c r="M13" s="29">
        <f t="shared" ref="M13:M20" si="4">M12+1</f>
        <v>25</v>
      </c>
      <c r="N13" s="74"/>
      <c r="O13" s="31">
        <v>75</v>
      </c>
      <c r="P13" s="31">
        <v>25</v>
      </c>
      <c r="Q13" s="32">
        <v>12</v>
      </c>
      <c r="R13" s="21">
        <f>1*(4)</f>
        <v>4</v>
      </c>
      <c r="S13" s="16">
        <f t="shared" si="0"/>
        <v>70.83</v>
      </c>
      <c r="T13" s="65"/>
      <c r="V13" s="9"/>
      <c r="W13" s="9"/>
      <c r="X13" s="36" t="s">
        <v>56</v>
      </c>
      <c r="Y13" s="37" t="s">
        <v>57</v>
      </c>
      <c r="Z13" s="38" t="s">
        <v>58</v>
      </c>
      <c r="AA13" s="38" t="s">
        <v>59</v>
      </c>
      <c r="AB13" s="39"/>
      <c r="AC13" s="37" t="s">
        <v>60</v>
      </c>
      <c r="AD13" s="37" t="s">
        <v>61</v>
      </c>
      <c r="AE13" s="37" t="s">
        <v>2</v>
      </c>
      <c r="AF13" s="37" t="s">
        <v>11</v>
      </c>
    </row>
    <row r="14" spans="1:32" ht="20.100000000000001" customHeight="1" x14ac:dyDescent="0.85">
      <c r="B14" s="29">
        <f t="shared" si="2"/>
        <v>12</v>
      </c>
      <c r="C14" s="51"/>
      <c r="D14" s="31">
        <v>600</v>
      </c>
      <c r="E14" s="47">
        <v>8</v>
      </c>
      <c r="F14" s="47"/>
      <c r="G14" s="31">
        <v>8</v>
      </c>
      <c r="H14" s="21">
        <f>ROUNDUP((A3*10*0.55+A6*8*0.4)/6,0)</f>
        <v>22</v>
      </c>
      <c r="I14" s="15">
        <f>D14*E14*G14*H14*7870/10000000</f>
        <v>664.85760000000005</v>
      </c>
      <c r="J14" s="85"/>
      <c r="K14" s="86"/>
      <c r="L14" s="12"/>
      <c r="M14" s="29">
        <f t="shared" si="4"/>
        <v>26</v>
      </c>
      <c r="N14" s="74"/>
      <c r="O14" s="31">
        <v>22</v>
      </c>
      <c r="P14" s="31">
        <v>22</v>
      </c>
      <c r="Q14" s="32">
        <v>8</v>
      </c>
      <c r="R14" s="21">
        <f>12*(4)</f>
        <v>48</v>
      </c>
      <c r="S14" s="16">
        <f t="shared" si="0"/>
        <v>146.26867200000001</v>
      </c>
      <c r="T14" s="65"/>
      <c r="V14" s="24">
        <v>6</v>
      </c>
      <c r="W14" s="98" t="s">
        <v>62</v>
      </c>
      <c r="X14" s="37" t="s">
        <v>63</v>
      </c>
      <c r="Y14" s="40">
        <f t="shared" ref="Y14:Y21" si="5">6*1.2*V14/1000*7850</f>
        <v>339.11999999999995</v>
      </c>
      <c r="Z14" s="40">
        <f>ROUNDUP(Z3/Y14,0)</f>
        <v>2</v>
      </c>
      <c r="AA14" s="40">
        <f t="shared" ref="AA14:AA21" si="6">Z14*Y14</f>
        <v>678.2399999999999</v>
      </c>
      <c r="AB14" s="41"/>
      <c r="AC14" s="35" t="s">
        <v>77</v>
      </c>
      <c r="AD14" s="42">
        <f>6*MID(AC14,3,3)/1000*MID(AC14,7,2)/1000*7850</f>
        <v>94.2</v>
      </c>
      <c r="AE14" s="42">
        <f>AF14/AD14</f>
        <v>109.47821656050957</v>
      </c>
      <c r="AF14" s="42">
        <f>I5+I8+I12</f>
        <v>10312.848000000002</v>
      </c>
    </row>
    <row r="15" spans="1:32" ht="20.100000000000001" customHeight="1" x14ac:dyDescent="0.8">
      <c r="A15" s="46">
        <v>22</v>
      </c>
      <c r="B15" s="29">
        <f t="shared" si="2"/>
        <v>13</v>
      </c>
      <c r="C15" s="50" t="s">
        <v>9</v>
      </c>
      <c r="D15" s="52" t="s">
        <v>7</v>
      </c>
      <c r="E15" s="53"/>
      <c r="F15" s="53"/>
      <c r="G15" s="54"/>
      <c r="H15" s="21">
        <f>A15*8</f>
        <v>176</v>
      </c>
      <c r="I15" s="15">
        <f>H15*(38.9)</f>
        <v>6846.4</v>
      </c>
      <c r="J15" s="83" t="s">
        <v>51</v>
      </c>
      <c r="K15" s="84"/>
      <c r="L15" s="12"/>
      <c r="M15" s="29">
        <f t="shared" si="4"/>
        <v>27</v>
      </c>
      <c r="N15" s="74"/>
      <c r="O15" s="31">
        <v>22</v>
      </c>
      <c r="P15" s="31">
        <v>8</v>
      </c>
      <c r="Q15" s="32">
        <v>12</v>
      </c>
      <c r="R15" s="21">
        <f>12*(4)</f>
        <v>48</v>
      </c>
      <c r="S15" s="16">
        <f t="shared" si="0"/>
        <v>79.782911999999996</v>
      </c>
      <c r="T15" s="65"/>
      <c r="V15" s="24">
        <v>8</v>
      </c>
      <c r="W15" s="98"/>
      <c r="X15" s="37" t="s">
        <v>64</v>
      </c>
      <c r="Y15" s="40">
        <f t="shared" si="5"/>
        <v>452.15999999999991</v>
      </c>
      <c r="Z15" s="40">
        <f>ROUNDUP((Z4-AF15)/Y15,0)</f>
        <v>23</v>
      </c>
      <c r="AA15" s="40">
        <f t="shared" si="6"/>
        <v>10399.679999999998</v>
      </c>
      <c r="AB15" s="4"/>
      <c r="AC15" s="35" t="s">
        <v>66</v>
      </c>
      <c r="AD15" s="42">
        <f>6*MID(AC15,3,3)/1000*MID(AC15,7,2)/1000*7850</f>
        <v>56.519999999999996</v>
      </c>
      <c r="AE15" s="42">
        <f>AF15/AD15</f>
        <v>11.028025477707006</v>
      </c>
      <c r="AF15" s="42">
        <f>I10</f>
        <v>623.30399999999997</v>
      </c>
    </row>
    <row r="16" spans="1:32" ht="20.100000000000001" customHeight="1" x14ac:dyDescent="0.8">
      <c r="A16" s="46"/>
      <c r="B16" s="29">
        <f t="shared" si="2"/>
        <v>14</v>
      </c>
      <c r="C16" s="51"/>
      <c r="D16" s="55" t="s">
        <v>52</v>
      </c>
      <c r="E16" s="56"/>
      <c r="F16" s="56"/>
      <c r="G16" s="57"/>
      <c r="H16" s="21">
        <f>A15*2</f>
        <v>44</v>
      </c>
      <c r="I16" s="15">
        <f>H16*(45.3)</f>
        <v>1993.1999999999998</v>
      </c>
      <c r="J16" s="85"/>
      <c r="K16" s="86"/>
      <c r="L16" s="12"/>
      <c r="M16" s="29">
        <f t="shared" si="4"/>
        <v>28</v>
      </c>
      <c r="N16" s="51"/>
      <c r="O16" s="31">
        <v>12</v>
      </c>
      <c r="P16" s="31">
        <v>8</v>
      </c>
      <c r="Q16" s="32">
        <v>12</v>
      </c>
      <c r="R16" s="21">
        <f>12*(4)</f>
        <v>48</v>
      </c>
      <c r="S16" s="16">
        <f t="shared" si="0"/>
        <v>43.517952000000001</v>
      </c>
      <c r="T16" s="66"/>
      <c r="V16" s="24">
        <v>10</v>
      </c>
      <c r="W16" s="98"/>
      <c r="X16" s="37" t="s">
        <v>65</v>
      </c>
      <c r="Y16" s="40">
        <f t="shared" si="5"/>
        <v>565.19999999999993</v>
      </c>
      <c r="Z16" s="40">
        <f>ROUNDUP((Z5)/Y16,0)</f>
        <v>13</v>
      </c>
      <c r="AA16" s="40">
        <f t="shared" si="6"/>
        <v>7347.5999999999995</v>
      </c>
      <c r="AB16" s="4"/>
      <c r="AC16" s="93"/>
      <c r="AD16" s="93"/>
      <c r="AF16" s="43">
        <f>SUM(AF14:AF15)</f>
        <v>10936.152000000002</v>
      </c>
    </row>
    <row r="17" spans="1:30" ht="20.100000000000001" customHeight="1" x14ac:dyDescent="0.8">
      <c r="B17" s="18"/>
      <c r="C17" s="18"/>
      <c r="D17"/>
      <c r="E17"/>
      <c r="F17"/>
      <c r="G17"/>
      <c r="H17"/>
      <c r="I17" s="25"/>
      <c r="J17" s="12"/>
      <c r="K17" s="20"/>
      <c r="L17" s="12"/>
      <c r="M17" s="29">
        <f t="shared" si="4"/>
        <v>29</v>
      </c>
      <c r="N17" s="34" t="s">
        <v>6</v>
      </c>
      <c r="O17" s="52" t="s">
        <v>7</v>
      </c>
      <c r="P17" s="53"/>
      <c r="Q17" s="54"/>
      <c r="R17" s="21">
        <f>ROUNDUP(6*60/6,0)</f>
        <v>60</v>
      </c>
      <c r="S17" s="16">
        <f>R17*52</f>
        <v>3120</v>
      </c>
      <c r="T17" s="31" t="s">
        <v>47</v>
      </c>
      <c r="V17" s="24">
        <v>12</v>
      </c>
      <c r="W17" s="98"/>
      <c r="X17" s="37" t="s">
        <v>67</v>
      </c>
      <c r="Y17" s="40">
        <f t="shared" si="5"/>
        <v>678.2399999999999</v>
      </c>
      <c r="Z17" s="40">
        <f>ROUNDUP((Z6-AF14)/Y17,0)</f>
        <v>-10</v>
      </c>
      <c r="AA17" s="40">
        <f t="shared" si="6"/>
        <v>-6782.3999999999987</v>
      </c>
      <c r="AB17" s="4"/>
      <c r="AC17" s="93"/>
      <c r="AD17" s="93"/>
    </row>
    <row r="18" spans="1:30" ht="20.100000000000001" customHeight="1" x14ac:dyDescent="0.8">
      <c r="B18"/>
      <c r="C18"/>
      <c r="D18"/>
      <c r="E18"/>
      <c r="F18"/>
      <c r="G18"/>
      <c r="H18"/>
      <c r="I18"/>
      <c r="J18"/>
      <c r="K18"/>
      <c r="L18" s="12"/>
      <c r="M18" s="29">
        <f t="shared" si="4"/>
        <v>30</v>
      </c>
      <c r="N18" s="50" t="s">
        <v>5</v>
      </c>
      <c r="O18" s="76" t="s">
        <v>4</v>
      </c>
      <c r="P18" s="77"/>
      <c r="Q18" s="78"/>
      <c r="R18" s="21">
        <f>ROUNDUP(24*2*7.5/12,0)</f>
        <v>30</v>
      </c>
      <c r="S18" s="16">
        <f>R18*2*12</f>
        <v>720</v>
      </c>
      <c r="T18" s="31" t="s">
        <v>35</v>
      </c>
      <c r="V18" s="24">
        <v>15</v>
      </c>
      <c r="W18" s="98"/>
      <c r="X18" s="37" t="s">
        <v>68</v>
      </c>
      <c r="Y18" s="40">
        <f t="shared" si="5"/>
        <v>847.79999999999984</v>
      </c>
      <c r="Z18" s="40">
        <f>ROUNDUP(Z7/Y18,0)</f>
        <v>0</v>
      </c>
      <c r="AA18" s="40">
        <f t="shared" si="6"/>
        <v>0</v>
      </c>
      <c r="AB18" s="4"/>
      <c r="AC18" s="93"/>
      <c r="AD18" s="93"/>
    </row>
    <row r="19" spans="1:30" ht="20.100000000000001" customHeight="1" x14ac:dyDescent="0.8">
      <c r="B19"/>
      <c r="C19"/>
      <c r="D19" s="82" t="s">
        <v>78</v>
      </c>
      <c r="E19" s="82"/>
      <c r="F19" s="82"/>
      <c r="G19" s="82"/>
      <c r="H19" s="82"/>
      <c r="I19" s="82"/>
      <c r="J19" s="82"/>
      <c r="K19"/>
      <c r="L19" s="12"/>
      <c r="M19" s="29">
        <f t="shared" si="4"/>
        <v>31</v>
      </c>
      <c r="N19" s="51"/>
      <c r="O19" s="79"/>
      <c r="P19" s="80"/>
      <c r="Q19" s="81"/>
      <c r="R19" s="21">
        <f>ROUNDUP(0*2*6.5/12,0)</f>
        <v>0</v>
      </c>
      <c r="S19" s="16">
        <f>R19*3.85*12</f>
        <v>0</v>
      </c>
      <c r="T19" s="31" t="s">
        <v>50</v>
      </c>
      <c r="V19" s="24">
        <v>20</v>
      </c>
      <c r="W19" s="98"/>
      <c r="X19" s="37" t="s">
        <v>69</v>
      </c>
      <c r="Y19" s="40">
        <f t="shared" si="5"/>
        <v>1130.3999999999999</v>
      </c>
      <c r="Z19" s="40">
        <f>ROUNDUP(Z8/Y19,0)</f>
        <v>2</v>
      </c>
      <c r="AA19" s="40">
        <f t="shared" si="6"/>
        <v>2260.7999999999997</v>
      </c>
      <c r="AB19" s="4"/>
      <c r="AC19" s="93"/>
      <c r="AD19" s="93"/>
    </row>
    <row r="20" spans="1:30" ht="20.100000000000001" customHeight="1" x14ac:dyDescent="0.8">
      <c r="B20"/>
      <c r="C20"/>
      <c r="D20"/>
      <c r="E20"/>
      <c r="F20"/>
      <c r="G20"/>
      <c r="H20"/>
      <c r="I20"/>
      <c r="J20"/>
      <c r="K20"/>
      <c r="L20" s="12"/>
      <c r="M20" s="29">
        <f t="shared" si="4"/>
        <v>32</v>
      </c>
      <c r="N20" s="45" t="s">
        <v>75</v>
      </c>
      <c r="O20" s="52" t="s">
        <v>7</v>
      </c>
      <c r="P20" s="53"/>
      <c r="Q20" s="54"/>
      <c r="R20" s="21">
        <f>ROUNDUP((4*4)*6.5/6,0)</f>
        <v>18</v>
      </c>
      <c r="S20" s="16">
        <f>R20*(6*8.64)</f>
        <v>933.12000000000012</v>
      </c>
      <c r="T20" s="31" t="s">
        <v>76</v>
      </c>
      <c r="V20" s="28">
        <v>25</v>
      </c>
      <c r="W20" s="98"/>
      <c r="X20" s="37" t="s">
        <v>70</v>
      </c>
      <c r="Y20" s="40">
        <f t="shared" si="5"/>
        <v>1412.9999999999998</v>
      </c>
      <c r="Z20" s="40">
        <f>ROUNDUP(Z9/Y20,0)</f>
        <v>0</v>
      </c>
      <c r="AA20" s="40">
        <f t="shared" si="6"/>
        <v>0</v>
      </c>
      <c r="AC20" s="93"/>
      <c r="AD20" s="93"/>
    </row>
    <row r="21" spans="1:30" ht="20.100000000000001" customHeight="1" x14ac:dyDescent="0.8">
      <c r="B21" s="5"/>
      <c r="D21" s="6"/>
      <c r="E21" s="6"/>
      <c r="F21" s="6"/>
      <c r="G21" s="6"/>
      <c r="H21" s="5"/>
      <c r="I21" s="5"/>
      <c r="J21" s="5"/>
      <c r="K21" s="5"/>
      <c r="L21" s="12"/>
      <c r="M21" s="17"/>
      <c r="N21" s="18"/>
      <c r="O21" s="18"/>
      <c r="P21" s="18"/>
      <c r="Q21" s="18"/>
      <c r="R21" s="18"/>
      <c r="S21" s="19"/>
      <c r="T21" s="19"/>
      <c r="V21" s="30">
        <v>30</v>
      </c>
      <c r="W21" s="98"/>
      <c r="X21" s="37" t="s">
        <v>71</v>
      </c>
      <c r="Y21" s="40">
        <f t="shared" si="5"/>
        <v>1695.5999999999997</v>
      </c>
      <c r="Z21" s="40">
        <f>ROUNDUP(Z10/Y21,0)</f>
        <v>0</v>
      </c>
      <c r="AA21" s="40">
        <f t="shared" si="6"/>
        <v>0</v>
      </c>
      <c r="AC21" s="93"/>
      <c r="AD21" s="93"/>
    </row>
    <row r="22" spans="1:30" ht="20.100000000000001" customHeight="1" x14ac:dyDescent="0.8">
      <c r="C22" s="5"/>
      <c r="D22" s="3"/>
      <c r="E22" s="3"/>
      <c r="F22" s="3"/>
      <c r="L22" s="8"/>
      <c r="O22" s="10"/>
      <c r="P22" s="10"/>
      <c r="Q22" s="10"/>
      <c r="R22" s="75"/>
      <c r="S22" s="75"/>
      <c r="T22"/>
      <c r="V22" s="4"/>
      <c r="W22" s="4"/>
      <c r="AA22" s="43">
        <f>SUM(AA14:AA21)</f>
        <v>13903.919999999998</v>
      </c>
      <c r="AC22" s="93"/>
      <c r="AD22" s="93"/>
    </row>
    <row r="23" spans="1:30" ht="20.100000000000001" customHeight="1" x14ac:dyDescent="0.8">
      <c r="C23" s="5"/>
      <c r="D23" s="3"/>
      <c r="E23" s="3"/>
      <c r="F23" s="3"/>
      <c r="L23" s="9"/>
      <c r="V23" s="4"/>
      <c r="W23" s="4"/>
    </row>
    <row r="24" spans="1:30" ht="20.100000000000001" customHeight="1" x14ac:dyDescent="0.85">
      <c r="C24" s="5"/>
      <c r="D24" s="3"/>
      <c r="E24" s="3"/>
      <c r="F24" s="3"/>
      <c r="L24" s="8"/>
      <c r="M24" s="27"/>
      <c r="N24" s="27"/>
      <c r="O24" s="27"/>
      <c r="P24" s="27"/>
      <c r="Q24" s="27"/>
      <c r="R24" s="27"/>
      <c r="S24" s="27"/>
      <c r="T24" s="27"/>
    </row>
    <row r="25" spans="1:30" ht="20.100000000000001" customHeight="1" x14ac:dyDescent="0.8">
      <c r="C25" s="5"/>
      <c r="D25" s="3"/>
      <c r="E25" s="3"/>
      <c r="F25" s="3"/>
      <c r="L25" s="10"/>
      <c r="N25" s="3"/>
    </row>
    <row r="26" spans="1:30" ht="20.100000000000001" customHeight="1" x14ac:dyDescent="0.8">
      <c r="C26" s="5"/>
      <c r="D26" s="3"/>
      <c r="E26" s="3"/>
      <c r="F26" s="3"/>
    </row>
    <row r="27" spans="1:30" ht="20.100000000000001" customHeight="1" x14ac:dyDescent="0.85">
      <c r="C27" s="6"/>
      <c r="D27" s="3"/>
      <c r="E27" s="3"/>
      <c r="F27" s="3"/>
      <c r="L27" s="3"/>
      <c r="S27" s="1"/>
      <c r="T27" s="1"/>
      <c r="X27" s="27"/>
      <c r="Y27" s="27"/>
      <c r="Z27" s="27"/>
      <c r="AA27" s="27"/>
    </row>
    <row r="28" spans="1:30" s="27" customFormat="1" ht="20.100000000000001" customHeight="1" x14ac:dyDescent="0.85">
      <c r="A28" s="1"/>
      <c r="B28" s="5"/>
      <c r="C28" s="6"/>
      <c r="D28" s="3"/>
      <c r="E28" s="3"/>
      <c r="F28" s="3"/>
      <c r="G28" s="4"/>
      <c r="H28" s="4"/>
      <c r="I28" s="4"/>
      <c r="J28" s="4"/>
      <c r="K28" s="4"/>
      <c r="L28" s="4"/>
      <c r="M28" s="1"/>
      <c r="N28" s="4"/>
      <c r="O28" s="4"/>
      <c r="P28" s="4"/>
      <c r="Q28" s="4"/>
      <c r="R28" s="4"/>
      <c r="S28" s="1"/>
      <c r="T28" s="1"/>
      <c r="X28" s="1"/>
      <c r="Y28" s="1"/>
      <c r="Z28" s="1"/>
      <c r="AA28" s="1"/>
    </row>
    <row r="29" spans="1:30" ht="20.100000000000001" customHeight="1" x14ac:dyDescent="0.8">
      <c r="B29" s="5"/>
      <c r="C29" s="6"/>
      <c r="M29" s="1"/>
      <c r="N29" s="1"/>
      <c r="S29" s="1"/>
      <c r="T29" s="1"/>
    </row>
    <row r="30" spans="1:30" ht="20.100000000000001" customHeight="1" x14ac:dyDescent="0.8">
      <c r="B30" s="5"/>
      <c r="C30" s="6"/>
      <c r="L30" s="7"/>
      <c r="M30" s="1"/>
      <c r="N30" s="1"/>
      <c r="O30" s="1"/>
      <c r="P30" s="1"/>
      <c r="Q30" s="1"/>
      <c r="R30" s="1"/>
      <c r="S30" s="1"/>
      <c r="T30" s="1"/>
    </row>
    <row r="31" spans="1:30" ht="20.100000000000001" customHeight="1" x14ac:dyDescent="0.8">
      <c r="B31" s="5"/>
      <c r="C31" s="6"/>
      <c r="L31" s="7"/>
      <c r="M31" s="1"/>
      <c r="N31" s="1"/>
      <c r="O31" s="1"/>
      <c r="P31" s="1"/>
      <c r="Q31" s="1"/>
      <c r="R31" s="1"/>
      <c r="S31" s="1"/>
      <c r="T31" s="1"/>
    </row>
    <row r="32" spans="1:30" ht="20.100000000000001" customHeight="1" x14ac:dyDescent="0.8">
      <c r="B32" s="5"/>
      <c r="C32" s="6"/>
      <c r="M32" s="1"/>
      <c r="N32" s="1"/>
      <c r="O32" s="1"/>
      <c r="P32" s="1"/>
      <c r="Q32" s="1"/>
      <c r="R32" s="1"/>
      <c r="S32" s="1"/>
      <c r="T32" s="1"/>
    </row>
    <row r="33" spans="1:21" ht="20.100000000000001" customHeight="1" x14ac:dyDescent="0.8">
      <c r="B33" s="5"/>
      <c r="C33" s="6"/>
      <c r="M33" s="1"/>
      <c r="N33" s="1"/>
      <c r="O33" s="1"/>
      <c r="P33" s="1"/>
      <c r="Q33" s="1"/>
      <c r="R33" s="1"/>
      <c r="S33" s="1"/>
      <c r="T33" s="1"/>
    </row>
    <row r="34" spans="1:21" ht="20.100000000000001" customHeight="1" x14ac:dyDescent="0.8">
      <c r="B34" s="5"/>
      <c r="C34" s="6"/>
      <c r="M34" s="1"/>
      <c r="N34" s="1"/>
      <c r="O34" s="1"/>
      <c r="P34" s="1"/>
      <c r="Q34" s="1"/>
      <c r="R34" s="1"/>
      <c r="S34" s="1"/>
      <c r="T34" s="1"/>
    </row>
    <row r="35" spans="1:21" ht="20.100000000000001" customHeight="1" x14ac:dyDescent="0.8">
      <c r="B35" s="5"/>
      <c r="C35" s="6"/>
      <c r="D35" s="5"/>
      <c r="E35" s="5"/>
      <c r="F35" s="5"/>
      <c r="G35" s="5"/>
      <c r="H35" s="5"/>
      <c r="I35" s="5"/>
      <c r="J35" s="5"/>
      <c r="K35" s="5"/>
      <c r="M35" s="1"/>
      <c r="N35" s="1"/>
      <c r="O35" s="1"/>
      <c r="P35" s="1"/>
      <c r="Q35" s="1"/>
      <c r="R35" s="1"/>
      <c r="S35" s="1"/>
      <c r="T35" s="1"/>
      <c r="U35" s="4"/>
    </row>
    <row r="36" spans="1:21" ht="20.100000000000001" customHeight="1" x14ac:dyDescent="0.85">
      <c r="B36" s="5"/>
      <c r="C36" s="6"/>
      <c r="M36" s="1"/>
      <c r="N36" s="1"/>
      <c r="O36" s="1"/>
      <c r="P36" s="1"/>
      <c r="Q36" s="1"/>
      <c r="R36" s="1"/>
      <c r="S36" s="1"/>
      <c r="T36" s="1"/>
      <c r="U36" s="27"/>
    </row>
    <row r="37" spans="1:21" ht="20.100000000000001" customHeight="1" x14ac:dyDescent="0.8">
      <c r="B37" s="5"/>
      <c r="C37" s="6"/>
      <c r="M37" s="1"/>
      <c r="N37" s="1"/>
      <c r="O37" s="1"/>
      <c r="P37" s="1"/>
      <c r="Q37" s="1"/>
      <c r="R37" s="1"/>
      <c r="S37" s="1"/>
      <c r="T37" s="1"/>
      <c r="U37" s="4"/>
    </row>
    <row r="38" spans="1:21" ht="20.100000000000001" customHeight="1" x14ac:dyDescent="0.8">
      <c r="C38" s="6"/>
      <c r="M38" s="1"/>
      <c r="N38" s="1"/>
      <c r="O38" s="1"/>
      <c r="P38" s="1"/>
      <c r="Q38" s="1"/>
      <c r="R38" s="1"/>
      <c r="S38" s="1"/>
      <c r="T38" s="1"/>
      <c r="U38" s="4"/>
    </row>
    <row r="39" spans="1:21" ht="20.100000000000001" customHeight="1" x14ac:dyDescent="0.8">
      <c r="B39" s="6"/>
      <c r="C39" s="6"/>
      <c r="M39" s="1"/>
      <c r="N39" s="1"/>
      <c r="O39" s="1"/>
      <c r="P39" s="1"/>
      <c r="Q39" s="1"/>
      <c r="R39" s="1"/>
      <c r="S39" s="1"/>
      <c r="T39" s="1"/>
    </row>
    <row r="40" spans="1:21" ht="20.100000000000001" customHeight="1" x14ac:dyDescent="0.8">
      <c r="B40" s="6"/>
      <c r="C40" s="6"/>
      <c r="M40" s="1"/>
      <c r="N40" s="1"/>
      <c r="O40" s="1"/>
      <c r="P40" s="1"/>
      <c r="Q40" s="1"/>
      <c r="R40" s="1"/>
      <c r="S40" s="1"/>
      <c r="T40" s="1"/>
    </row>
    <row r="41" spans="1:21" ht="20.100000000000001" customHeight="1" x14ac:dyDescent="0.8">
      <c r="B41" s="6"/>
      <c r="C41" s="6"/>
      <c r="M41" s="1"/>
      <c r="N41" s="1"/>
      <c r="O41" s="1"/>
      <c r="P41" s="1"/>
      <c r="Q41" s="1"/>
      <c r="R41" s="1"/>
      <c r="S41" s="1"/>
      <c r="T41" s="1"/>
    </row>
    <row r="42" spans="1:21" ht="20.100000000000001" customHeight="1" x14ac:dyDescent="0.8">
      <c r="B42" s="6"/>
      <c r="C42" s="6"/>
      <c r="D42" s="6"/>
      <c r="E42" s="6"/>
      <c r="F42" s="6"/>
      <c r="G42" s="6"/>
      <c r="H42" s="6"/>
      <c r="I42" s="6"/>
      <c r="J42" s="6"/>
      <c r="K42" s="6"/>
      <c r="M42" s="1"/>
      <c r="N42" s="1"/>
      <c r="O42" s="1"/>
      <c r="P42" s="1"/>
      <c r="Q42" s="1"/>
      <c r="R42" s="1"/>
      <c r="S42" s="1"/>
      <c r="T42" s="1"/>
    </row>
    <row r="43" spans="1:21" ht="20.100000000000001" customHeight="1" x14ac:dyDescent="0.8">
      <c r="B43"/>
      <c r="C43"/>
      <c r="D43"/>
      <c r="E43"/>
      <c r="F43"/>
      <c r="G43"/>
      <c r="H43"/>
      <c r="I43"/>
      <c r="J43"/>
      <c r="K43"/>
      <c r="M43" s="1"/>
      <c r="N43" s="1"/>
      <c r="O43" s="1"/>
      <c r="P43" s="1"/>
      <c r="Q43" s="1"/>
      <c r="R43" s="1"/>
      <c r="S43" s="1"/>
      <c r="T43" s="1"/>
    </row>
    <row r="44" spans="1:21" ht="20.100000000000001" customHeight="1" x14ac:dyDescent="0.8">
      <c r="B44"/>
      <c r="C44"/>
      <c r="D44"/>
      <c r="E44"/>
      <c r="F44"/>
      <c r="G44"/>
      <c r="H44"/>
      <c r="I44"/>
      <c r="J44"/>
      <c r="K44"/>
      <c r="M44" s="1"/>
      <c r="N44" s="1"/>
      <c r="O44" s="1"/>
      <c r="P44" s="1"/>
      <c r="Q44" s="1"/>
      <c r="R44" s="1"/>
      <c r="S44" s="1"/>
      <c r="T44" s="1"/>
    </row>
    <row r="45" spans="1:21" ht="20.100000000000001" customHeight="1" x14ac:dyDescent="0.8">
      <c r="A45" s="2"/>
      <c r="B45"/>
      <c r="C45"/>
      <c r="D45"/>
      <c r="E45"/>
      <c r="F45"/>
      <c r="G45"/>
      <c r="H45"/>
      <c r="I45"/>
      <c r="J45"/>
      <c r="K45"/>
      <c r="M45" s="1"/>
      <c r="N45" s="1"/>
      <c r="O45" s="1"/>
      <c r="P45" s="1"/>
      <c r="Q45" s="1"/>
      <c r="R45" s="1"/>
      <c r="S45" s="1"/>
      <c r="T45" s="1"/>
    </row>
    <row r="46" spans="1:21" ht="20.100000000000001" customHeight="1" x14ac:dyDescent="0.8">
      <c r="A46" s="2"/>
      <c r="B46"/>
      <c r="C46"/>
      <c r="D46"/>
      <c r="E46"/>
      <c r="F46"/>
      <c r="G46"/>
      <c r="H46"/>
      <c r="I46"/>
      <c r="J46"/>
      <c r="K46"/>
      <c r="M46" s="1"/>
      <c r="N46" s="1"/>
      <c r="O46" s="1"/>
      <c r="P46" s="1"/>
      <c r="Q46" s="1"/>
      <c r="R46" s="1"/>
      <c r="S46" s="1"/>
      <c r="T46" s="1"/>
    </row>
    <row r="47" spans="1:21" ht="20.100000000000001" customHeight="1" x14ac:dyDescent="0.8">
      <c r="A47" s="2"/>
      <c r="B47"/>
      <c r="C47"/>
      <c r="D47"/>
      <c r="E47"/>
      <c r="F47"/>
      <c r="G47"/>
      <c r="H47"/>
      <c r="I47"/>
      <c r="J47"/>
      <c r="K47"/>
      <c r="M47"/>
      <c r="N47"/>
      <c r="O47" s="1"/>
      <c r="P47" s="1"/>
      <c r="Q47" s="1"/>
      <c r="R47" s="1"/>
      <c r="S47"/>
      <c r="T47"/>
    </row>
    <row r="48" spans="1:21" ht="20.100000000000001" customHeight="1" x14ac:dyDescent="0.8">
      <c r="A48" s="2"/>
      <c r="B48"/>
      <c r="C48"/>
      <c r="D48"/>
      <c r="E48"/>
      <c r="F48"/>
      <c r="G48"/>
      <c r="H48"/>
      <c r="I48"/>
      <c r="J48"/>
      <c r="K48"/>
      <c r="M48"/>
      <c r="N48"/>
      <c r="O48" s="1"/>
      <c r="P48" s="1"/>
      <c r="Q48" s="1"/>
      <c r="R48" s="1"/>
      <c r="S48"/>
      <c r="T48"/>
    </row>
    <row r="49" spans="1:27" ht="20.100000000000001" customHeight="1" x14ac:dyDescent="0.8">
      <c r="A49" s="2"/>
      <c r="B49"/>
      <c r="C49"/>
      <c r="D49"/>
      <c r="E49"/>
      <c r="F49"/>
      <c r="G49"/>
      <c r="H49"/>
      <c r="I49"/>
      <c r="J49"/>
      <c r="K49"/>
      <c r="L49" s="5"/>
      <c r="M49"/>
      <c r="N49"/>
      <c r="O49" s="1"/>
      <c r="P49" s="1"/>
      <c r="Q49" s="1"/>
      <c r="R49" s="1"/>
      <c r="S49"/>
      <c r="T49"/>
    </row>
    <row r="50" spans="1:27" ht="20.100000000000001" customHeight="1" x14ac:dyDescent="0.8">
      <c r="A50" s="2"/>
      <c r="B50"/>
      <c r="C50"/>
      <c r="D50"/>
      <c r="E50"/>
      <c r="F50"/>
      <c r="G50"/>
      <c r="H50"/>
      <c r="I50"/>
      <c r="J50"/>
      <c r="K50"/>
      <c r="M50"/>
      <c r="N50"/>
      <c r="O50"/>
      <c r="P50"/>
      <c r="Q50"/>
      <c r="R50"/>
      <c r="S50"/>
      <c r="T50"/>
    </row>
    <row r="51" spans="1:27" ht="20.100000000000001" customHeight="1" x14ac:dyDescent="0.8">
      <c r="A51" s="2"/>
      <c r="B51"/>
      <c r="C51"/>
      <c r="D51"/>
      <c r="E51"/>
      <c r="F51"/>
      <c r="G51"/>
      <c r="H51"/>
      <c r="I51"/>
      <c r="J51"/>
      <c r="K51"/>
      <c r="M51"/>
      <c r="N51"/>
      <c r="O51"/>
      <c r="P51"/>
      <c r="Q51"/>
      <c r="R51"/>
      <c r="S51"/>
      <c r="T51"/>
    </row>
    <row r="52" spans="1:27" ht="21" customHeight="1" x14ac:dyDescent="0.8">
      <c r="A52" s="2"/>
      <c r="B52"/>
      <c r="C52"/>
      <c r="D52"/>
      <c r="E52"/>
      <c r="F52"/>
      <c r="G52"/>
      <c r="H52"/>
      <c r="I52"/>
      <c r="J52"/>
      <c r="K52"/>
      <c r="M52"/>
      <c r="N52"/>
      <c r="O52"/>
      <c r="P52"/>
      <c r="Q52"/>
      <c r="R52"/>
      <c r="S52"/>
      <c r="T52"/>
    </row>
    <row r="53" spans="1:27" ht="21" customHeight="1" x14ac:dyDescent="0.8">
      <c r="A53" s="2"/>
      <c r="B53"/>
      <c r="C53"/>
      <c r="D53"/>
      <c r="E53"/>
      <c r="F53"/>
      <c r="G53"/>
      <c r="H53"/>
      <c r="I53"/>
      <c r="J53"/>
      <c r="K53"/>
      <c r="M53"/>
      <c r="N53"/>
      <c r="O53"/>
      <c r="P53"/>
      <c r="Q53"/>
      <c r="R53"/>
      <c r="S53"/>
      <c r="T53"/>
    </row>
    <row r="54" spans="1:27" ht="21" customHeight="1" x14ac:dyDescent="0.8">
      <c r="A54" s="2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7" ht="21" customHeight="1" x14ac:dyDescent="0.8">
      <c r="A55" s="2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7" ht="21" customHeight="1" x14ac:dyDescent="0.8">
      <c r="A56" s="2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7" ht="21" customHeight="1" x14ac:dyDescent="0.8">
      <c r="A57" s="2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7" ht="21" customHeight="1" x14ac:dyDescent="0.8">
      <c r="A58" s="2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7" ht="21" customHeight="1" x14ac:dyDescent="0.8">
      <c r="A59" s="2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7" ht="21" customHeight="1" x14ac:dyDescent="0.8">
      <c r="A60" s="2"/>
      <c r="B60" s="6"/>
      <c r="D60" s="6"/>
      <c r="E60" s="6"/>
      <c r="F60" s="6"/>
      <c r="G60" s="6"/>
      <c r="H60" s="6"/>
      <c r="I60" s="6"/>
      <c r="J60" s="6"/>
      <c r="K60" s="6"/>
      <c r="L60"/>
      <c r="M60"/>
      <c r="N60"/>
      <c r="O60"/>
      <c r="P60"/>
      <c r="Q60"/>
      <c r="R60"/>
      <c r="S60"/>
      <c r="T60"/>
    </row>
    <row r="61" spans="1:27" x14ac:dyDescent="0.8">
      <c r="A61" s="2"/>
      <c r="B61" s="6"/>
      <c r="D61" s="6"/>
      <c r="E61" s="6"/>
      <c r="F61" s="6"/>
      <c r="G61" s="6"/>
      <c r="H61" s="6"/>
      <c r="I61" s="6"/>
      <c r="J61" s="6"/>
      <c r="K61" s="6"/>
      <c r="L61"/>
      <c r="M61"/>
      <c r="N61"/>
      <c r="O61"/>
      <c r="P61"/>
      <c r="Q61"/>
      <c r="R61"/>
      <c r="S61"/>
      <c r="T61"/>
      <c r="X61" s="2"/>
      <c r="Y61" s="2"/>
      <c r="Z61" s="2"/>
      <c r="AA61" s="2"/>
    </row>
    <row r="62" spans="1:27" s="2" customFormat="1" ht="18" customHeight="1" x14ac:dyDescent="0.8">
      <c r="B62" s="6"/>
      <c r="C62" s="4"/>
      <c r="D62" s="6"/>
      <c r="E62" s="6"/>
      <c r="F62" s="6"/>
      <c r="G62" s="6"/>
      <c r="H62" s="6"/>
      <c r="I62" s="6"/>
      <c r="J62" s="6"/>
      <c r="K62" s="6"/>
      <c r="L62"/>
      <c r="M62"/>
      <c r="N62"/>
      <c r="O62"/>
      <c r="P62"/>
      <c r="Q62"/>
      <c r="R62"/>
      <c r="S62"/>
      <c r="T62"/>
    </row>
    <row r="63" spans="1:27" s="2" customFormat="1" ht="18" customHeight="1" x14ac:dyDescent="0.8">
      <c r="B63" s="6"/>
      <c r="C63" s="4"/>
      <c r="D63" s="6"/>
      <c r="E63" s="6"/>
      <c r="F63" s="6"/>
      <c r="G63" s="6"/>
      <c r="H63" s="6"/>
      <c r="I63" s="6"/>
      <c r="J63" s="6"/>
      <c r="K63" s="6"/>
      <c r="L63"/>
      <c r="M63"/>
      <c r="N63"/>
      <c r="O63"/>
      <c r="P63"/>
      <c r="Q63"/>
      <c r="R63"/>
      <c r="S63"/>
      <c r="T63"/>
    </row>
    <row r="64" spans="1:27" s="2" customFormat="1" ht="18" customHeight="1" x14ac:dyDescent="0.8">
      <c r="B64" s="6"/>
      <c r="C64" s="4"/>
      <c r="D64" s="6"/>
      <c r="E64" s="6"/>
      <c r="F64" s="6"/>
      <c r="G64" s="6"/>
      <c r="H64" s="6"/>
      <c r="I64" s="6"/>
      <c r="J64" s="6"/>
      <c r="K64" s="6"/>
      <c r="L64"/>
      <c r="M64"/>
      <c r="N64"/>
      <c r="O64"/>
      <c r="P64"/>
      <c r="Q64"/>
      <c r="R64"/>
      <c r="S64"/>
      <c r="T64"/>
    </row>
    <row r="65" spans="1:20" s="2" customFormat="1" ht="18" customHeight="1" x14ac:dyDescent="0.8">
      <c r="B65" s="6"/>
      <c r="C65" s="4"/>
      <c r="D65" s="6"/>
      <c r="E65" s="6"/>
      <c r="F65" s="6"/>
      <c r="G65" s="6"/>
      <c r="H65" s="6"/>
      <c r="I65" s="6"/>
      <c r="J65" s="6"/>
      <c r="K65" s="6"/>
      <c r="L65"/>
      <c r="M65"/>
      <c r="N65"/>
      <c r="O65"/>
      <c r="P65"/>
      <c r="Q65"/>
      <c r="R65"/>
      <c r="S65"/>
      <c r="T65"/>
    </row>
    <row r="66" spans="1:20" s="2" customFormat="1" ht="18" customHeight="1" x14ac:dyDescent="0.8">
      <c r="B66" s="6"/>
      <c r="C66" s="4"/>
      <c r="D66" s="6"/>
      <c r="E66" s="6"/>
      <c r="F66" s="6"/>
      <c r="G66" s="6"/>
      <c r="H66" s="6"/>
      <c r="I66" s="6"/>
      <c r="J66" s="6"/>
      <c r="K66" s="6"/>
      <c r="L66"/>
      <c r="M66"/>
      <c r="N66"/>
      <c r="O66"/>
      <c r="P66"/>
      <c r="Q66"/>
      <c r="R66"/>
      <c r="S66"/>
      <c r="T66"/>
    </row>
    <row r="67" spans="1:20" s="2" customFormat="1" ht="18" customHeight="1" x14ac:dyDescent="0.8">
      <c r="B67" s="6"/>
      <c r="C67" s="4"/>
      <c r="D67" s="6"/>
      <c r="E67" s="6"/>
      <c r="F67" s="6"/>
      <c r="G67" s="6"/>
      <c r="H67" s="6"/>
      <c r="I67" s="6"/>
      <c r="J67" s="6"/>
      <c r="K67" s="6"/>
      <c r="L67"/>
      <c r="M67"/>
      <c r="N67"/>
      <c r="O67"/>
      <c r="P67"/>
      <c r="Q67"/>
      <c r="R67"/>
      <c r="S67"/>
      <c r="T67"/>
    </row>
    <row r="68" spans="1:20" s="2" customFormat="1" ht="18" customHeight="1" x14ac:dyDescent="0.8">
      <c r="B68" s="4"/>
      <c r="C68" s="4"/>
      <c r="D68" s="6"/>
      <c r="E68" s="6"/>
      <c r="F68" s="6"/>
      <c r="G68" s="6"/>
      <c r="H68" s="6"/>
      <c r="I68" s="6"/>
      <c r="J68" s="6"/>
      <c r="K68" s="6"/>
      <c r="L68"/>
      <c r="M68"/>
      <c r="N68"/>
      <c r="O68"/>
      <c r="P68"/>
      <c r="Q68"/>
      <c r="R68"/>
      <c r="S68"/>
      <c r="T68"/>
    </row>
    <row r="69" spans="1:20" s="2" customFormat="1" ht="18" customHeight="1" x14ac:dyDescent="0.8">
      <c r="B69" s="4"/>
      <c r="C69" s="4"/>
      <c r="D69" s="6"/>
      <c r="E69" s="6"/>
      <c r="F69" s="6"/>
      <c r="G69" s="6"/>
      <c r="H69" s="6"/>
      <c r="I69" s="6"/>
      <c r="J69" s="6"/>
      <c r="K69" s="6"/>
      <c r="L69"/>
      <c r="M69"/>
      <c r="N69"/>
      <c r="O69"/>
      <c r="P69"/>
      <c r="Q69"/>
      <c r="R69"/>
      <c r="S69"/>
      <c r="T69"/>
    </row>
    <row r="70" spans="1:20" s="2" customFormat="1" ht="18" customHeight="1" x14ac:dyDescent="0.8">
      <c r="B70" s="4"/>
      <c r="C70" s="4"/>
      <c r="D70" s="4"/>
      <c r="E70" s="4"/>
      <c r="F70" s="4"/>
      <c r="G70" s="4"/>
      <c r="H70" s="4"/>
      <c r="I70" s="4"/>
      <c r="J70" s="4"/>
      <c r="K70" s="4"/>
      <c r="L70"/>
      <c r="M70"/>
      <c r="N70"/>
      <c r="O70"/>
      <c r="P70"/>
      <c r="Q70"/>
      <c r="R70"/>
      <c r="S70"/>
      <c r="T70"/>
    </row>
    <row r="71" spans="1:20" s="2" customFormat="1" ht="18" customHeight="1" x14ac:dyDescent="0.8">
      <c r="B71" s="4"/>
      <c r="C71" s="4"/>
      <c r="D71" s="4"/>
      <c r="E71" s="4"/>
      <c r="F71" s="4"/>
      <c r="G71" s="4"/>
      <c r="H71" s="4"/>
      <c r="I71" s="4"/>
      <c r="J71" s="4"/>
      <c r="K71" s="4"/>
      <c r="L71"/>
      <c r="M71"/>
      <c r="N71"/>
      <c r="O71"/>
      <c r="P71"/>
      <c r="Q71"/>
      <c r="R71"/>
      <c r="S71"/>
      <c r="T71"/>
    </row>
    <row r="72" spans="1:20" s="2" customFormat="1" ht="18" customHeight="1" x14ac:dyDescent="0.8">
      <c r="B72" s="4"/>
      <c r="C72" s="4"/>
      <c r="D72" s="4"/>
      <c r="E72" s="4"/>
      <c r="F72" s="4"/>
      <c r="G72" s="4"/>
      <c r="H72" s="4"/>
      <c r="I72" s="4"/>
      <c r="J72" s="4"/>
      <c r="K72" s="4"/>
      <c r="L72"/>
      <c r="M72"/>
      <c r="N72"/>
      <c r="O72"/>
      <c r="P72"/>
      <c r="Q72"/>
      <c r="R72"/>
      <c r="S72"/>
      <c r="T72"/>
    </row>
    <row r="73" spans="1:20" s="2" customFormat="1" ht="18" customHeight="1" x14ac:dyDescent="0.8">
      <c r="B73" s="4"/>
      <c r="C73" s="4"/>
      <c r="D73" s="4"/>
      <c r="E73" s="4"/>
      <c r="F73" s="4"/>
      <c r="G73" s="4"/>
      <c r="H73" s="4"/>
      <c r="I73" s="4"/>
      <c r="J73" s="4"/>
      <c r="K73" s="4"/>
      <c r="L73"/>
      <c r="M73"/>
      <c r="N73"/>
      <c r="O73"/>
      <c r="P73"/>
      <c r="Q73"/>
      <c r="R73"/>
      <c r="S73"/>
      <c r="T73"/>
    </row>
    <row r="74" spans="1:20" s="2" customFormat="1" ht="18" customHeight="1" x14ac:dyDescent="0.8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/>
      <c r="M74"/>
      <c r="N74"/>
      <c r="O74"/>
      <c r="P74"/>
      <c r="Q74"/>
      <c r="R74"/>
      <c r="S74"/>
      <c r="T74"/>
    </row>
    <row r="75" spans="1:20" s="2" customFormat="1" ht="18" customHeight="1" x14ac:dyDescent="0.8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/>
      <c r="M75"/>
      <c r="N75"/>
      <c r="O75"/>
      <c r="P75"/>
      <c r="Q75"/>
      <c r="R75"/>
      <c r="S75"/>
      <c r="T75"/>
    </row>
    <row r="76" spans="1:20" s="2" customFormat="1" ht="18" customHeight="1" x14ac:dyDescent="0.8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/>
      <c r="M76"/>
      <c r="N76"/>
      <c r="O76"/>
      <c r="P76"/>
      <c r="Q76"/>
      <c r="R76"/>
      <c r="S76"/>
      <c r="T76"/>
    </row>
    <row r="77" spans="1:20" s="2" customFormat="1" ht="18" customHeight="1" x14ac:dyDescent="0.8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/>
      <c r="M77"/>
      <c r="N77"/>
      <c r="O77"/>
      <c r="P77"/>
      <c r="Q77"/>
      <c r="R77"/>
      <c r="S77"/>
      <c r="T77"/>
    </row>
    <row r="78" spans="1:20" s="2" customFormat="1" ht="18" customHeight="1" x14ac:dyDescent="0.8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/>
      <c r="M78"/>
      <c r="N78"/>
      <c r="O78"/>
      <c r="P78"/>
      <c r="Q78"/>
      <c r="R78"/>
      <c r="S78"/>
      <c r="T78"/>
    </row>
    <row r="79" spans="1:20" s="2" customFormat="1" ht="18" customHeight="1" x14ac:dyDescent="0.8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/>
      <c r="M79"/>
      <c r="N79"/>
      <c r="O79"/>
      <c r="P79"/>
      <c r="Q79"/>
      <c r="R79"/>
      <c r="S79"/>
      <c r="T79"/>
    </row>
    <row r="80" spans="1:20" s="2" customFormat="1" ht="18" customHeight="1" x14ac:dyDescent="0.8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/>
      <c r="M80" s="4"/>
      <c r="N80" s="4"/>
      <c r="O80"/>
      <c r="P80"/>
      <c r="Q80"/>
      <c r="R80"/>
      <c r="S80" s="4"/>
      <c r="T80" s="4"/>
    </row>
    <row r="81" spans="1:27" s="2" customFormat="1" ht="18" customHeight="1" x14ac:dyDescent="0.8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/>
      <c r="M81" s="4"/>
      <c r="N81" s="4"/>
      <c r="O81"/>
      <c r="P81"/>
      <c r="Q81"/>
      <c r="R81"/>
      <c r="S81" s="4"/>
      <c r="T81" s="4"/>
    </row>
    <row r="82" spans="1:27" s="2" customFormat="1" ht="18" customHeight="1" x14ac:dyDescent="0.8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/>
      <c r="M82" s="4"/>
      <c r="N82" s="4"/>
      <c r="O82"/>
      <c r="P82"/>
      <c r="Q82"/>
      <c r="R82"/>
      <c r="S82" s="4"/>
      <c r="T82" s="4"/>
    </row>
    <row r="83" spans="1:27" s="2" customFormat="1" ht="18" customHeight="1" x14ac:dyDescent="0.8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/>
      <c r="M83" s="4"/>
      <c r="N83" s="4"/>
      <c r="O83" s="4"/>
      <c r="P83" s="4"/>
      <c r="Q83" s="4"/>
      <c r="R83" s="4"/>
      <c r="S83" s="4"/>
      <c r="T83" s="4"/>
    </row>
    <row r="84" spans="1:27" s="2" customFormat="1" ht="18" customHeight="1" x14ac:dyDescent="0.8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/>
      <c r="M84" s="4"/>
      <c r="N84" s="4"/>
      <c r="O84" s="4"/>
      <c r="P84" s="4"/>
      <c r="Q84" s="4"/>
      <c r="R84" s="4"/>
      <c r="S84" s="4"/>
      <c r="T84" s="4"/>
    </row>
    <row r="85" spans="1:27" s="2" customFormat="1" ht="18" customHeight="1" x14ac:dyDescent="0.8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/>
      <c r="M85" s="4"/>
      <c r="N85" s="4"/>
      <c r="O85" s="4"/>
      <c r="P85" s="4"/>
      <c r="Q85" s="4"/>
      <c r="R85" s="4"/>
      <c r="S85" s="4"/>
      <c r="T85" s="4"/>
    </row>
    <row r="86" spans="1:27" s="2" customFormat="1" ht="18" customHeight="1" x14ac:dyDescent="0.8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/>
      <c r="M86" s="4"/>
      <c r="N86" s="4"/>
      <c r="O86" s="4"/>
      <c r="P86" s="4"/>
      <c r="Q86" s="4"/>
      <c r="R86" s="4"/>
      <c r="S86" s="4"/>
      <c r="T86" s="4"/>
    </row>
    <row r="87" spans="1:27" s="2" customFormat="1" ht="18" customHeight="1" x14ac:dyDescent="0.8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7" s="2" customFormat="1" ht="18" customHeight="1" x14ac:dyDescent="0.8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7" s="2" customFormat="1" ht="18" customHeight="1" x14ac:dyDescent="0.8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7" s="2" customFormat="1" ht="18" customHeight="1" x14ac:dyDescent="0.8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X90" s="1"/>
      <c r="Y90" s="1"/>
      <c r="Z90" s="1"/>
      <c r="AA90" s="1"/>
    </row>
  </sheetData>
  <mergeCells count="84">
    <mergeCell ref="AE6:AF6"/>
    <mergeCell ref="X7:Y7"/>
    <mergeCell ref="Z7:AA7"/>
    <mergeCell ref="W14:W21"/>
    <mergeCell ref="AC16:AD16"/>
    <mergeCell ref="AC17:AD17"/>
    <mergeCell ref="AC18:AD18"/>
    <mergeCell ref="AC19:AD19"/>
    <mergeCell ref="AC20:AD20"/>
    <mergeCell ref="AE7:AF7"/>
    <mergeCell ref="X8:Y8"/>
    <mergeCell ref="Z8:AA8"/>
    <mergeCell ref="AC8:AD8"/>
    <mergeCell ref="AE8:AF8"/>
    <mergeCell ref="X3:Y3"/>
    <mergeCell ref="Z3:AA3"/>
    <mergeCell ref="AC21:AD21"/>
    <mergeCell ref="AC22:AD22"/>
    <mergeCell ref="X9:Y9"/>
    <mergeCell ref="Z9:AA9"/>
    <mergeCell ref="AC9:AD9"/>
    <mergeCell ref="AC12:AD12"/>
    <mergeCell ref="X11:Y11"/>
    <mergeCell ref="Z11:AA11"/>
    <mergeCell ref="AC11:AD11"/>
    <mergeCell ref="AC7:AD7"/>
    <mergeCell ref="X6:Y6"/>
    <mergeCell ref="Z6:AA6"/>
    <mergeCell ref="AC6:AD6"/>
    <mergeCell ref="AE11:AF11"/>
    <mergeCell ref="AC3:AD3"/>
    <mergeCell ref="AE3:AF3"/>
    <mergeCell ref="X4:Y4"/>
    <mergeCell ref="Z4:AA4"/>
    <mergeCell ref="AC4:AD4"/>
    <mergeCell ref="AE4:AF4"/>
    <mergeCell ref="X5:Y5"/>
    <mergeCell ref="Z5:AA5"/>
    <mergeCell ref="AC5:AD5"/>
    <mergeCell ref="AE5:AF5"/>
    <mergeCell ref="AE9:AF9"/>
    <mergeCell ref="X10:Y10"/>
    <mergeCell ref="Z10:AA10"/>
    <mergeCell ref="AC10:AD10"/>
    <mergeCell ref="AE10:AF10"/>
    <mergeCell ref="R22:S22"/>
    <mergeCell ref="E14:F14"/>
    <mergeCell ref="O20:Q20"/>
    <mergeCell ref="T12:T16"/>
    <mergeCell ref="K9:K10"/>
    <mergeCell ref="O18:Q19"/>
    <mergeCell ref="N18:N19"/>
    <mergeCell ref="O17:Q17"/>
    <mergeCell ref="D19:J19"/>
    <mergeCell ref="J13:K14"/>
    <mergeCell ref="E10:F10"/>
    <mergeCell ref="J15:K16"/>
    <mergeCell ref="N3:N16"/>
    <mergeCell ref="A1:C1"/>
    <mergeCell ref="D1:Q1"/>
    <mergeCell ref="A11:A12"/>
    <mergeCell ref="K11:K12"/>
    <mergeCell ref="E9:F9"/>
    <mergeCell ref="A6:A8"/>
    <mergeCell ref="C3:C14"/>
    <mergeCell ref="A3:A5"/>
    <mergeCell ref="R1:T1"/>
    <mergeCell ref="E2:F2"/>
    <mergeCell ref="J2:K2"/>
    <mergeCell ref="E5:F5"/>
    <mergeCell ref="E7:F7"/>
    <mergeCell ref="K3:K5"/>
    <mergeCell ref="T3:T4"/>
    <mergeCell ref="T6:T7"/>
    <mergeCell ref="E3:F3"/>
    <mergeCell ref="K6:K8"/>
    <mergeCell ref="A15:A16"/>
    <mergeCell ref="E12:F12"/>
    <mergeCell ref="E13:F13"/>
    <mergeCell ref="E8:F8"/>
    <mergeCell ref="A9:A10"/>
    <mergeCell ref="C15:C16"/>
    <mergeCell ref="D15:G15"/>
    <mergeCell ref="D16:G16"/>
  </mergeCells>
  <printOptions horizontalCentered="1" verticalCentered="1"/>
  <pageMargins left="0" right="0" top="0" bottom="0" header="0" footer="0"/>
  <pageSetup paperSize="9" scale="77" orientation="landscape" blackAndWhite="1" r:id="rId1"/>
  <rowBreaks count="2" manualBreakCount="2">
    <brk id="29" max="19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P16"/>
  <sheetViews>
    <sheetView zoomScale="130" zoomScaleNormal="130" workbookViewId="0">
      <selection activeCell="C19" sqref="C19"/>
    </sheetView>
  </sheetViews>
  <sheetFormatPr defaultColWidth="9.109375" defaultRowHeight="14.4" x14ac:dyDescent="0.3"/>
  <cols>
    <col min="2" max="3" width="9.109375" style="44"/>
  </cols>
  <sheetData>
    <row r="5" spans="2:16" x14ac:dyDescent="0.3">
      <c r="B5" s="44" t="s">
        <v>72</v>
      </c>
      <c r="C5" s="44" t="s">
        <v>73</v>
      </c>
      <c r="O5" s="44">
        <v>2000</v>
      </c>
      <c r="P5">
        <f>(-9.3801)*O5+20978</f>
        <v>2217.7999999999993</v>
      </c>
    </row>
    <row r="6" spans="2:16" x14ac:dyDescent="0.3">
      <c r="B6" s="44">
        <v>2020.665</v>
      </c>
      <c r="C6" s="44">
        <v>2023.9369999999999</v>
      </c>
      <c r="O6" s="44">
        <v>2100</v>
      </c>
      <c r="P6">
        <f>(-9.3801)*O6+20978</f>
        <v>1279.7899999999972</v>
      </c>
    </row>
    <row r="7" spans="2:16" x14ac:dyDescent="0.3">
      <c r="B7" s="44">
        <v>2021.3430000000001</v>
      </c>
      <c r="C7" s="44">
        <v>2017.9949999999999</v>
      </c>
    </row>
    <row r="8" spans="2:16" x14ac:dyDescent="0.3">
      <c r="B8" s="44">
        <v>2021.972</v>
      </c>
      <c r="C8" s="44">
        <v>2012.021</v>
      </c>
    </row>
    <row r="9" spans="2:16" x14ac:dyDescent="0.3">
      <c r="B9" s="44">
        <v>2022.569</v>
      </c>
      <c r="C9" s="44">
        <v>2006.05</v>
      </c>
    </row>
    <row r="10" spans="2:16" x14ac:dyDescent="0.3">
      <c r="B10" s="44">
        <v>2023.2170000000001</v>
      </c>
      <c r="C10" s="44">
        <v>2000.09</v>
      </c>
    </row>
    <row r="11" spans="2:16" x14ac:dyDescent="0.3">
      <c r="B11" s="44">
        <v>2023.8679999999999</v>
      </c>
      <c r="C11" s="44">
        <v>1994.1120000000001</v>
      </c>
    </row>
    <row r="12" spans="2:16" x14ac:dyDescent="0.3">
      <c r="B12" s="44">
        <v>2024.5119999999999</v>
      </c>
      <c r="C12" s="44">
        <v>1988.152</v>
      </c>
    </row>
    <row r="13" spans="2:16" x14ac:dyDescent="0.3">
      <c r="B13" s="44">
        <v>2025.155</v>
      </c>
      <c r="C13" s="44">
        <v>1982.18</v>
      </c>
    </row>
    <row r="14" spans="2:16" x14ac:dyDescent="0.3">
      <c r="B14" s="44">
        <v>2025.768</v>
      </c>
      <c r="C14" s="44">
        <v>1976.2090000000001</v>
      </c>
    </row>
    <row r="15" spans="2:16" x14ac:dyDescent="0.3">
      <c r="B15" s="44">
        <v>2026.443</v>
      </c>
      <c r="C15" s="44">
        <v>1970.2460000000001</v>
      </c>
    </row>
    <row r="16" spans="2:16" x14ac:dyDescent="0.3">
      <c r="B16" s="44">
        <v>2027.009</v>
      </c>
      <c r="C16" s="44">
        <v>1964.27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 1- Main</vt:lpstr>
      <vt:lpstr>Sheet 2</vt:lpstr>
      <vt:lpstr>'Sheet 1- Main'!Print_Area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 UEFI</dc:creator>
  <cp:lastModifiedBy>Pardis</cp:lastModifiedBy>
  <cp:lastPrinted>2023-09-30T23:48:46Z</cp:lastPrinted>
  <dcterms:created xsi:type="dcterms:W3CDTF">2016-09-14T08:53:40Z</dcterms:created>
  <dcterms:modified xsi:type="dcterms:W3CDTF">2026-06-27T18:28:01Z</dcterms:modified>
</cp:coreProperties>
</file>